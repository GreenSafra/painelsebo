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naldobatista-hsp\Documents\Gestão MP\Gestão MP 2026\Sebo Unidades\Vendas\08 - Ofertas Agosto\"/>
    </mc:Choice>
  </mc:AlternateContent>
  <xr:revisionPtr revIDLastSave="0" documentId="13_ncr:1_{55C7A80D-8DEB-4466-BFEC-64A0A8C975E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otações Filtro" sheetId="3" r:id="rId1"/>
  </sheets>
  <definedNames>
    <definedName name="_xlnm._FilterDatabase" localSheetId="0" hidden="1">'Cotações Filtro'!$A$2:$Z$299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74" i="3" l="1"/>
  <c r="G173" i="3"/>
  <c r="G172" i="3"/>
  <c r="G267" i="3"/>
  <c r="G271" i="3"/>
  <c r="G270" i="3"/>
  <c r="G269" i="3"/>
  <c r="G268" i="3"/>
  <c r="G272" i="3"/>
  <c r="G273" i="3"/>
  <c r="G278" i="3"/>
  <c r="G277" i="3"/>
  <c r="G276" i="3"/>
  <c r="G275" i="3"/>
  <c r="G274" i="3"/>
  <c r="G96" i="3" l="1"/>
  <c r="G95" i="3"/>
  <c r="G94" i="3"/>
  <c r="G165" i="3" l="1"/>
  <c r="G164" i="3"/>
  <c r="G163" i="3"/>
  <c r="G162" i="3"/>
  <c r="G161" i="3"/>
  <c r="G160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13" i="3"/>
  <c r="G112" i="3"/>
  <c r="G111" i="3"/>
  <c r="O210" i="3"/>
  <c r="G241" i="3"/>
  <c r="H241" i="3" s="1"/>
  <c r="G240" i="3"/>
  <c r="H240" i="3" s="1"/>
  <c r="G239" i="3"/>
  <c r="H239" i="3" s="1"/>
  <c r="G238" i="3"/>
  <c r="H238" i="3" s="1"/>
  <c r="G237" i="3"/>
  <c r="H237" i="3"/>
  <c r="G236" i="3"/>
  <c r="H236" i="3" s="1"/>
  <c r="G235" i="3"/>
  <c r="H235" i="3" s="1"/>
  <c r="G234" i="3"/>
  <c r="H234" i="3" s="1"/>
  <c r="G233" i="3"/>
  <c r="H233" i="3" s="1"/>
  <c r="G232" i="3"/>
  <c r="H232" i="3" s="1"/>
  <c r="G231" i="3"/>
  <c r="H231" i="3" s="1"/>
  <c r="G230" i="3"/>
  <c r="H230" i="3" s="1"/>
  <c r="G229" i="3"/>
  <c r="H229" i="3" s="1"/>
  <c r="G228" i="3"/>
  <c r="H228" i="3" s="1"/>
  <c r="G227" i="3"/>
  <c r="H227" i="3" s="1"/>
  <c r="G226" i="3"/>
  <c r="H226" i="3" s="1"/>
  <c r="G225" i="3"/>
  <c r="H225" i="3" s="1"/>
  <c r="G224" i="3"/>
  <c r="H224" i="3" s="1"/>
  <c r="G223" i="3"/>
  <c r="H223" i="3" s="1"/>
  <c r="G222" i="3"/>
  <c r="H222" i="3" s="1"/>
  <c r="G221" i="3"/>
  <c r="H221" i="3" s="1"/>
  <c r="G220" i="3"/>
  <c r="H220" i="3" s="1"/>
  <c r="H219" i="3"/>
  <c r="G219" i="3"/>
  <c r="G218" i="3"/>
  <c r="H218" i="3" s="1"/>
  <c r="G217" i="3"/>
  <c r="H217" i="3" s="1"/>
  <c r="G216" i="3"/>
  <c r="H216" i="3" s="1"/>
  <c r="G215" i="3"/>
  <c r="H215" i="3" s="1"/>
  <c r="G214" i="3"/>
  <c r="H214" i="3" s="1"/>
  <c r="G213" i="3"/>
  <c r="H213" i="3" s="1"/>
  <c r="G212" i="3"/>
  <c r="H212" i="3" s="1"/>
  <c r="G211" i="3"/>
  <c r="H211" i="3" s="1"/>
  <c r="G210" i="3"/>
  <c r="H210" i="3" s="1"/>
  <c r="J177" i="3" l="1"/>
  <c r="H177" i="3" s="1"/>
  <c r="R177" i="3" s="1"/>
  <c r="J176" i="3"/>
  <c r="H176" i="3" s="1"/>
  <c r="R176" i="3" s="1"/>
  <c r="J175" i="3"/>
  <c r="O175" i="3" s="1"/>
  <c r="J174" i="3"/>
  <c r="O174" i="3" s="1"/>
  <c r="H174" i="3"/>
  <c r="R174" i="3" s="1"/>
  <c r="J173" i="3"/>
  <c r="O173" i="3" s="1"/>
  <c r="J172" i="3"/>
  <c r="O172" i="3" s="1"/>
  <c r="G159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0" i="3"/>
  <c r="G114" i="3"/>
  <c r="H175" i="3" l="1"/>
  <c r="R175" i="3" s="1"/>
  <c r="O177" i="3"/>
  <c r="O176" i="3"/>
  <c r="H173" i="3"/>
  <c r="R173" i="3" s="1"/>
  <c r="H172" i="3"/>
  <c r="R172" i="3" s="1"/>
  <c r="G281" i="3" l="1"/>
  <c r="G280" i="3"/>
  <c r="G279" i="3"/>
  <c r="J112" i="3"/>
  <c r="O223" i="3" l="1"/>
  <c r="J5" i="3" l="1"/>
  <c r="H5" i="3" s="1"/>
  <c r="R5" i="3" s="1"/>
  <c r="J4" i="3"/>
  <c r="O4" i="3" s="1"/>
  <c r="J3" i="3"/>
  <c r="O3" i="3" s="1"/>
  <c r="H3" i="3" l="1"/>
  <c r="R3" i="3" s="1"/>
  <c r="O5" i="3"/>
  <c r="H4" i="3"/>
  <c r="R4" i="3" s="1"/>
  <c r="J68" i="3"/>
  <c r="H68" i="3" s="1"/>
  <c r="J256" i="3"/>
  <c r="O256" i="3" s="1"/>
  <c r="J255" i="3"/>
  <c r="O255" i="3" s="1"/>
  <c r="J254" i="3"/>
  <c r="O254" i="3" s="1"/>
  <c r="O267" i="3"/>
  <c r="J267" i="3"/>
  <c r="H267" i="3"/>
  <c r="R267" i="3" s="1"/>
  <c r="O68" i="3" l="1"/>
  <c r="H256" i="3"/>
  <c r="R256" i="3" s="1"/>
  <c r="H254" i="3"/>
  <c r="R254" i="3" s="1"/>
  <c r="H255" i="3"/>
  <c r="R255" i="3" s="1"/>
  <c r="J198" i="3" l="1"/>
  <c r="O198" i="3" s="1"/>
  <c r="J197" i="3"/>
  <c r="O197" i="3" s="1"/>
  <c r="J196" i="3"/>
  <c r="O196" i="3" s="1"/>
  <c r="H196" i="3" l="1"/>
  <c r="R196" i="3" s="1"/>
  <c r="H197" i="3"/>
  <c r="R197" i="3" s="1"/>
  <c r="H198" i="3"/>
  <c r="R198" i="3" s="1"/>
  <c r="J247" i="3" l="1"/>
  <c r="O247" i="3" s="1"/>
  <c r="J246" i="3"/>
  <c r="O246" i="3" s="1"/>
  <c r="J245" i="3"/>
  <c r="O245" i="3" s="1"/>
  <c r="O238" i="3"/>
  <c r="O237" i="3"/>
  <c r="O240" i="3"/>
  <c r="O233" i="3"/>
  <c r="O241" i="3"/>
  <c r="O236" i="3"/>
  <c r="O235" i="3"/>
  <c r="O234" i="3"/>
  <c r="R239" i="3" l="1"/>
  <c r="H245" i="3"/>
  <c r="R245" i="3" s="1"/>
  <c r="H246" i="3"/>
  <c r="R246" i="3" s="1"/>
  <c r="H247" i="3"/>
  <c r="R247" i="3" s="1"/>
  <c r="O239" i="3"/>
  <c r="R240" i="3" l="1"/>
  <c r="R241" i="3"/>
  <c r="R236" i="3"/>
  <c r="R234" i="3"/>
  <c r="R235" i="3"/>
  <c r="R238" i="3"/>
  <c r="R237" i="3"/>
  <c r="R233" i="3"/>
  <c r="J113" i="3"/>
  <c r="H113" i="3" l="1"/>
  <c r="H134" i="3"/>
  <c r="R134" i="3" s="1"/>
  <c r="H133" i="3"/>
  <c r="R133" i="3" s="1"/>
  <c r="O132" i="3"/>
  <c r="O131" i="3"/>
  <c r="O130" i="3"/>
  <c r="O129" i="3"/>
  <c r="O128" i="3"/>
  <c r="O127" i="3"/>
  <c r="O126" i="3"/>
  <c r="O125" i="3"/>
  <c r="O124" i="3"/>
  <c r="O123" i="3"/>
  <c r="O118" i="3"/>
  <c r="O120" i="3"/>
  <c r="O115" i="3"/>
  <c r="O119" i="3"/>
  <c r="O117" i="3"/>
  <c r="O122" i="3"/>
  <c r="O116" i="3"/>
  <c r="O114" i="3"/>
  <c r="O121" i="3"/>
  <c r="O110" i="3"/>
  <c r="O106" i="3"/>
  <c r="H106" i="3"/>
  <c r="R106" i="3" s="1"/>
  <c r="O105" i="3"/>
  <c r="H105" i="3"/>
  <c r="R105" i="3" s="1"/>
  <c r="O104" i="3"/>
  <c r="H104" i="3"/>
  <c r="R104" i="3" s="1"/>
  <c r="O103" i="3"/>
  <c r="H103" i="3"/>
  <c r="R103" i="3" s="1"/>
  <c r="O109" i="3"/>
  <c r="H109" i="3"/>
  <c r="R109" i="3" s="1"/>
  <c r="O108" i="3"/>
  <c r="H108" i="3"/>
  <c r="R108" i="3" s="1"/>
  <c r="O107" i="3"/>
  <c r="H107" i="3"/>
  <c r="R107" i="3" s="1"/>
  <c r="O219" i="3"/>
  <c r="O165" i="3"/>
  <c r="O161" i="3"/>
  <c r="O160" i="3"/>
  <c r="O164" i="3"/>
  <c r="O163" i="3"/>
  <c r="O162" i="3"/>
  <c r="O159" i="3"/>
  <c r="O158" i="3"/>
  <c r="O157" i="3"/>
  <c r="O156" i="3"/>
  <c r="O155" i="3"/>
  <c r="O154" i="3"/>
  <c r="O153" i="3"/>
  <c r="O152" i="3"/>
  <c r="O151" i="3"/>
  <c r="O148" i="3"/>
  <c r="O147" i="3"/>
  <c r="O144" i="3"/>
  <c r="O150" i="3"/>
  <c r="O146" i="3"/>
  <c r="O142" i="3"/>
  <c r="O145" i="3"/>
  <c r="O143" i="3"/>
  <c r="O149" i="3"/>
  <c r="O141" i="3"/>
  <c r="O140" i="3"/>
  <c r="O139" i="3"/>
  <c r="O138" i="3"/>
  <c r="O137" i="3"/>
  <c r="O136" i="3"/>
  <c r="O135" i="3"/>
  <c r="O218" i="3"/>
  <c r="O217" i="3"/>
  <c r="O216" i="3"/>
  <c r="O215" i="3"/>
  <c r="O214" i="3"/>
  <c r="O222" i="3"/>
  <c r="O221" i="3"/>
  <c r="O220" i="3"/>
  <c r="O213" i="3"/>
  <c r="O212" i="3"/>
  <c r="O211" i="3"/>
  <c r="H165" i="3"/>
  <c r="R165" i="3" s="1"/>
  <c r="H161" i="3"/>
  <c r="R161" i="3" s="1"/>
  <c r="H160" i="3"/>
  <c r="R160" i="3" s="1"/>
  <c r="H164" i="3"/>
  <c r="R164" i="3" s="1"/>
  <c r="H163" i="3"/>
  <c r="R163" i="3" s="1"/>
  <c r="H162" i="3"/>
  <c r="R162" i="3" s="1"/>
  <c r="H159" i="3"/>
  <c r="R159" i="3" s="1"/>
  <c r="H158" i="3"/>
  <c r="R158" i="3" s="1"/>
  <c r="H157" i="3"/>
  <c r="R157" i="3" s="1"/>
  <c r="H156" i="3"/>
  <c r="R156" i="3" s="1"/>
  <c r="H155" i="3"/>
  <c r="R155" i="3" s="1"/>
  <c r="H154" i="3"/>
  <c r="R154" i="3" s="1"/>
  <c r="H153" i="3"/>
  <c r="R153" i="3" s="1"/>
  <c r="H152" i="3"/>
  <c r="R152" i="3" s="1"/>
  <c r="H151" i="3"/>
  <c r="R151" i="3" s="1"/>
  <c r="H148" i="3"/>
  <c r="R148" i="3" s="1"/>
  <c r="H147" i="3"/>
  <c r="R147" i="3" s="1"/>
  <c r="H144" i="3"/>
  <c r="R144" i="3" s="1"/>
  <c r="H150" i="3"/>
  <c r="R150" i="3" s="1"/>
  <c r="H146" i="3"/>
  <c r="R146" i="3" s="1"/>
  <c r="H142" i="3"/>
  <c r="R142" i="3" s="1"/>
  <c r="H145" i="3"/>
  <c r="R145" i="3" s="1"/>
  <c r="H143" i="3"/>
  <c r="R143" i="3" s="1"/>
  <c r="H149" i="3"/>
  <c r="R149" i="3" s="1"/>
  <c r="H141" i="3"/>
  <c r="R141" i="3" s="1"/>
  <c r="H140" i="3"/>
  <c r="R140" i="3" s="1"/>
  <c r="H139" i="3"/>
  <c r="R139" i="3" s="1"/>
  <c r="H138" i="3"/>
  <c r="R138" i="3" s="1"/>
  <c r="H137" i="3"/>
  <c r="R137" i="3" s="1"/>
  <c r="H136" i="3"/>
  <c r="R136" i="3" s="1"/>
  <c r="H135" i="3"/>
  <c r="R135" i="3" s="1"/>
  <c r="J132" i="3"/>
  <c r="J131" i="3"/>
  <c r="J130" i="3"/>
  <c r="J129" i="3"/>
  <c r="J128" i="3"/>
  <c r="J127" i="3"/>
  <c r="J126" i="3"/>
  <c r="J125" i="3"/>
  <c r="J124" i="3"/>
  <c r="J123" i="3"/>
  <c r="J118" i="3"/>
  <c r="J120" i="3"/>
  <c r="J115" i="3"/>
  <c r="J119" i="3"/>
  <c r="J117" i="3"/>
  <c r="J122" i="3"/>
  <c r="J116" i="3"/>
  <c r="J114" i="3"/>
  <c r="J121" i="3"/>
  <c r="J111" i="3"/>
  <c r="J110" i="3"/>
  <c r="R214" i="3" l="1"/>
  <c r="R210" i="3"/>
  <c r="R220" i="3"/>
  <c r="R215" i="3"/>
  <c r="R216" i="3"/>
  <c r="R213" i="3"/>
  <c r="R222" i="3"/>
  <c r="R211" i="3"/>
  <c r="R221" i="3"/>
  <c r="R223" i="3"/>
  <c r="R218" i="3"/>
  <c r="R212" i="3"/>
  <c r="R219" i="3"/>
  <c r="R217" i="3"/>
  <c r="H123" i="3"/>
  <c r="R123" i="3" s="1"/>
  <c r="H124" i="3"/>
  <c r="R124" i="3" s="1"/>
  <c r="H127" i="3"/>
  <c r="R127" i="3" s="1"/>
  <c r="H114" i="3"/>
  <c r="R114" i="3" s="1"/>
  <c r="H121" i="3"/>
  <c r="R121" i="3" s="1"/>
  <c r="H126" i="3"/>
  <c r="R126" i="3" s="1"/>
  <c r="H110" i="3"/>
  <c r="R110" i="3" s="1"/>
  <c r="O112" i="3"/>
  <c r="H125" i="3"/>
  <c r="R125" i="3" s="1"/>
  <c r="O113" i="3"/>
  <c r="O111" i="3"/>
  <c r="H116" i="3"/>
  <c r="R116" i="3" s="1"/>
  <c r="H128" i="3"/>
  <c r="R128" i="3" s="1"/>
  <c r="O133" i="3"/>
  <c r="H122" i="3"/>
  <c r="R122" i="3" s="1"/>
  <c r="H129" i="3"/>
  <c r="R129" i="3" s="1"/>
  <c r="O134" i="3"/>
  <c r="H117" i="3"/>
  <c r="R117" i="3" s="1"/>
  <c r="H130" i="3"/>
  <c r="R130" i="3" s="1"/>
  <c r="H119" i="3"/>
  <c r="R119" i="3" s="1"/>
  <c r="H131" i="3"/>
  <c r="R131" i="3" s="1"/>
  <c r="H115" i="3"/>
  <c r="R115" i="3" s="1"/>
  <c r="H132" i="3"/>
  <c r="R132" i="3" s="1"/>
  <c r="H120" i="3"/>
  <c r="R120" i="3" s="1"/>
  <c r="H118" i="3"/>
  <c r="R118" i="3" s="1"/>
  <c r="H111" i="3"/>
  <c r="R111" i="3" s="1"/>
  <c r="R113" i="3"/>
  <c r="H112" i="3" l="1"/>
  <c r="R112" i="3" s="1"/>
  <c r="J290" i="3"/>
  <c r="O290" i="3" s="1"/>
  <c r="J288" i="3"/>
  <c r="O288" i="3" s="1"/>
  <c r="J289" i="3"/>
  <c r="O289" i="3" s="1"/>
  <c r="H288" i="3" l="1"/>
  <c r="R288" i="3" s="1"/>
  <c r="H289" i="3"/>
  <c r="R289" i="3" s="1"/>
  <c r="H290" i="3"/>
  <c r="R290" i="3" s="1"/>
  <c r="H83" i="3"/>
  <c r="R83" i="3" s="1"/>
  <c r="H82" i="3"/>
  <c r="R82" i="3" s="1"/>
  <c r="H81" i="3"/>
  <c r="R81" i="3" s="1"/>
  <c r="H80" i="3"/>
  <c r="R80" i="3" s="1"/>
  <c r="H79" i="3"/>
  <c r="R79" i="3" s="1"/>
  <c r="H75" i="3"/>
  <c r="R75" i="3" s="1"/>
  <c r="H78" i="3"/>
  <c r="R78" i="3" s="1"/>
  <c r="H77" i="3"/>
  <c r="R77" i="3" s="1"/>
  <c r="H76" i="3"/>
  <c r="R76" i="3" s="1"/>
  <c r="O83" i="3"/>
  <c r="O82" i="3"/>
  <c r="O81" i="3"/>
  <c r="O80" i="3"/>
  <c r="O79" i="3"/>
  <c r="O75" i="3"/>
  <c r="O78" i="3"/>
  <c r="O77" i="3"/>
  <c r="O76" i="3"/>
  <c r="J84" i="3"/>
  <c r="H84" i="3" s="1"/>
  <c r="R84" i="3" s="1"/>
  <c r="J74" i="3"/>
  <c r="H74" i="3" s="1"/>
  <c r="R74" i="3" s="1"/>
  <c r="J73" i="3"/>
  <c r="H73" i="3" s="1"/>
  <c r="R73" i="3" s="1"/>
  <c r="J72" i="3"/>
  <c r="H72" i="3" s="1"/>
  <c r="R72" i="3" s="1"/>
  <c r="O84" i="3" l="1"/>
  <c r="O72" i="3"/>
  <c r="O73" i="3"/>
  <c r="O74" i="3"/>
  <c r="J243" i="3"/>
  <c r="O243" i="3" s="1"/>
  <c r="H243" i="3" l="1"/>
  <c r="R243" i="3" s="1"/>
  <c r="J244" i="3" l="1"/>
  <c r="H244" i="3" s="1"/>
  <c r="R244" i="3" s="1"/>
  <c r="O244" i="3" l="1"/>
  <c r="J242" i="3" l="1"/>
  <c r="H242" i="3" s="1"/>
  <c r="R242" i="3" s="1"/>
  <c r="O242" i="3" l="1"/>
  <c r="O230" i="3"/>
  <c r="O232" i="3"/>
  <c r="R228" i="3" l="1"/>
  <c r="R224" i="3"/>
  <c r="R231" i="3"/>
  <c r="R226" i="3"/>
  <c r="R229" i="3"/>
  <c r="R227" i="3"/>
  <c r="R225" i="3"/>
  <c r="O224" i="3"/>
  <c r="O225" i="3"/>
  <c r="O231" i="3"/>
  <c r="O227" i="3"/>
  <c r="O229" i="3"/>
  <c r="O226" i="3"/>
  <c r="O228" i="3"/>
  <c r="R230" i="3" l="1"/>
  <c r="R232" i="3"/>
  <c r="J10" i="3"/>
  <c r="O10" i="3" s="1"/>
  <c r="H10" i="3" l="1"/>
  <c r="R10" i="3" s="1"/>
  <c r="J253" i="3" l="1"/>
  <c r="H253" i="3" s="1"/>
  <c r="R253" i="3" s="1"/>
  <c r="J252" i="3"/>
  <c r="J251" i="3"/>
  <c r="H251" i="3" s="1"/>
  <c r="R251" i="3" s="1"/>
  <c r="O252" i="3" l="1"/>
  <c r="H252" i="3"/>
  <c r="R252" i="3" s="1"/>
  <c r="O251" i="3"/>
  <c r="O253" i="3"/>
  <c r="J21" i="3"/>
  <c r="J194" i="3"/>
  <c r="J191" i="3"/>
  <c r="J190" i="3"/>
  <c r="H190" i="3" s="1"/>
  <c r="R190" i="3" s="1"/>
  <c r="O191" i="3" l="1"/>
  <c r="H191" i="3"/>
  <c r="R191" i="3" s="1"/>
  <c r="O194" i="3"/>
  <c r="H194" i="3"/>
  <c r="R194" i="3" s="1"/>
  <c r="O21" i="3"/>
  <c r="H21" i="3"/>
  <c r="O190" i="3"/>
  <c r="R21" i="3" l="1"/>
  <c r="J67" i="3"/>
  <c r="O67" i="3" l="1"/>
  <c r="H67" i="3"/>
  <c r="R67" i="3" s="1"/>
  <c r="J169" i="3"/>
  <c r="J170" i="3"/>
  <c r="J171" i="3"/>
  <c r="O208" i="3"/>
  <c r="O207" i="3"/>
  <c r="O204" i="3"/>
  <c r="O203" i="3"/>
  <c r="O206" i="3"/>
  <c r="O202" i="3"/>
  <c r="O205" i="3"/>
  <c r="O201" i="3"/>
  <c r="O199" i="3"/>
  <c r="O200" i="3"/>
  <c r="O195" i="3"/>
  <c r="O297" i="3"/>
  <c r="O298" i="3"/>
  <c r="O296" i="3"/>
  <c r="O294" i="3"/>
  <c r="O295" i="3"/>
  <c r="O287" i="3"/>
  <c r="O282" i="3"/>
  <c r="O286" i="3"/>
  <c r="O284" i="3"/>
  <c r="O285" i="3"/>
  <c r="O283" i="3"/>
  <c r="O274" i="3"/>
  <c r="O273" i="3"/>
  <c r="O54" i="3"/>
  <c r="O53" i="3"/>
  <c r="O52" i="3"/>
  <c r="O51" i="3"/>
  <c r="O50" i="3"/>
  <c r="O49" i="3"/>
  <c r="O48" i="3"/>
  <c r="O171" i="3" l="1"/>
  <c r="H171" i="3"/>
  <c r="R171" i="3" s="1"/>
  <c r="O170" i="3"/>
  <c r="H170" i="3"/>
  <c r="R170" i="3" s="1"/>
  <c r="O169" i="3"/>
  <c r="H169" i="3"/>
  <c r="R169" i="3" s="1"/>
  <c r="J250" i="3"/>
  <c r="H250" i="3" s="1"/>
  <c r="R250" i="3" s="1"/>
  <c r="J249" i="3"/>
  <c r="H249" i="3" s="1"/>
  <c r="R249" i="3" s="1"/>
  <c r="J248" i="3"/>
  <c r="O248" i="3" l="1"/>
  <c r="H248" i="3"/>
  <c r="R248" i="3" s="1"/>
  <c r="O250" i="3"/>
  <c r="O249" i="3"/>
  <c r="J17" i="3"/>
  <c r="H17" i="3" s="1"/>
  <c r="R17" i="3" s="1"/>
  <c r="J12" i="3"/>
  <c r="J19" i="3"/>
  <c r="J20" i="3"/>
  <c r="J14" i="3"/>
  <c r="H14" i="3" s="1"/>
  <c r="R14" i="3" s="1"/>
  <c r="J18" i="3"/>
  <c r="J15" i="3"/>
  <c r="J13" i="3"/>
  <c r="J16" i="3"/>
  <c r="H16" i="3" s="1"/>
  <c r="R16" i="3" s="1"/>
  <c r="O13" i="3" l="1"/>
  <c r="H13" i="3"/>
  <c r="R13" i="3" s="1"/>
  <c r="O15" i="3"/>
  <c r="H15" i="3"/>
  <c r="R15" i="3" s="1"/>
  <c r="O18" i="3"/>
  <c r="H18" i="3"/>
  <c r="R18" i="3" s="1"/>
  <c r="O20" i="3"/>
  <c r="H20" i="3"/>
  <c r="R20" i="3" s="1"/>
  <c r="O19" i="3"/>
  <c r="H19" i="3"/>
  <c r="R19" i="3" s="1"/>
  <c r="O12" i="3"/>
  <c r="H12" i="3"/>
  <c r="R12" i="3" s="1"/>
  <c r="O16" i="3"/>
  <c r="O17" i="3"/>
  <c r="O14" i="3"/>
  <c r="J261" i="3"/>
  <c r="H261" i="3" s="1"/>
  <c r="R261" i="3" s="1"/>
  <c r="J265" i="3"/>
  <c r="H265" i="3" s="1"/>
  <c r="R265" i="3" s="1"/>
  <c r="J266" i="3"/>
  <c r="H266" i="3" s="1"/>
  <c r="R266" i="3" s="1"/>
  <c r="J258" i="3"/>
  <c r="H258" i="3" s="1"/>
  <c r="R258" i="3" s="1"/>
  <c r="J263" i="3"/>
  <c r="H263" i="3" s="1"/>
  <c r="R263" i="3" s="1"/>
  <c r="J262" i="3"/>
  <c r="H262" i="3" s="1"/>
  <c r="R262" i="3" s="1"/>
  <c r="J264" i="3"/>
  <c r="J259" i="3"/>
  <c r="J260" i="3"/>
  <c r="H260" i="3" s="1"/>
  <c r="R260" i="3" s="1"/>
  <c r="J31" i="3"/>
  <c r="H31" i="3" s="1"/>
  <c r="R31" i="3" s="1"/>
  <c r="J25" i="3"/>
  <c r="H25" i="3" s="1"/>
  <c r="J29" i="3"/>
  <c r="J33" i="3"/>
  <c r="H33" i="3" s="1"/>
  <c r="J27" i="3"/>
  <c r="H27" i="3" s="1"/>
  <c r="R27" i="3" s="1"/>
  <c r="J32" i="3"/>
  <c r="H32" i="3" s="1"/>
  <c r="R32" i="3" s="1"/>
  <c r="J28" i="3"/>
  <c r="J26" i="3"/>
  <c r="J30" i="3"/>
  <c r="H30" i="3" s="1"/>
  <c r="R30" i="3" s="1"/>
  <c r="J37" i="3"/>
  <c r="J40" i="3"/>
  <c r="J41" i="3"/>
  <c r="H41" i="3" s="1"/>
  <c r="R41" i="3" s="1"/>
  <c r="J42" i="3"/>
  <c r="H42" i="3" s="1"/>
  <c r="R42" i="3" s="1"/>
  <c r="J35" i="3"/>
  <c r="J39" i="3"/>
  <c r="H39" i="3" s="1"/>
  <c r="R39" i="3" s="1"/>
  <c r="J36" i="3"/>
  <c r="J34" i="3"/>
  <c r="H34" i="3" s="1"/>
  <c r="R34" i="3" s="1"/>
  <c r="J38" i="3"/>
  <c r="H38" i="3" s="1"/>
  <c r="R38" i="3" s="1"/>
  <c r="R25" i="3" l="1"/>
  <c r="R33" i="3"/>
  <c r="O37" i="3"/>
  <c r="H37" i="3"/>
  <c r="R37" i="3" s="1"/>
  <c r="O28" i="3"/>
  <c r="H28" i="3"/>
  <c r="R28" i="3" s="1"/>
  <c r="O40" i="3"/>
  <c r="H40" i="3"/>
  <c r="R40" i="3" s="1"/>
  <c r="O264" i="3"/>
  <c r="H264" i="3"/>
  <c r="R264" i="3" s="1"/>
  <c r="O259" i="3"/>
  <c r="H259" i="3"/>
  <c r="R259" i="3" s="1"/>
  <c r="O36" i="3"/>
  <c r="H36" i="3"/>
  <c r="R36" i="3" s="1"/>
  <c r="O35" i="3"/>
  <c r="H35" i="3"/>
  <c r="R35" i="3" s="1"/>
  <c r="O26" i="3"/>
  <c r="H26" i="3"/>
  <c r="O29" i="3"/>
  <c r="H29" i="3"/>
  <c r="R29" i="3" s="1"/>
  <c r="O263" i="3"/>
  <c r="O27" i="3"/>
  <c r="O25" i="3"/>
  <c r="O30" i="3"/>
  <c r="O260" i="3"/>
  <c r="O42" i="3"/>
  <c r="O34" i="3"/>
  <c r="O31" i="3"/>
  <c r="O258" i="3"/>
  <c r="O265" i="3"/>
  <c r="O41" i="3"/>
  <c r="O38" i="3"/>
  <c r="O33" i="3"/>
  <c r="O266" i="3"/>
  <c r="O261" i="3"/>
  <c r="O39" i="3"/>
  <c r="O32" i="3"/>
  <c r="O262" i="3"/>
  <c r="J179" i="3"/>
  <c r="H179" i="3" s="1"/>
  <c r="R179" i="3" s="1"/>
  <c r="J178" i="3"/>
  <c r="H178" i="3" s="1"/>
  <c r="R178" i="3" s="1"/>
  <c r="J180" i="3"/>
  <c r="H180" i="3" s="1"/>
  <c r="R180" i="3" s="1"/>
  <c r="R26" i="3" l="1"/>
  <c r="O180" i="3"/>
  <c r="O178" i="3"/>
  <c r="O179" i="3"/>
  <c r="J208" i="3"/>
  <c r="H208" i="3" s="1"/>
  <c r="R208" i="3" s="1"/>
  <c r="J207" i="3"/>
  <c r="H207" i="3" s="1"/>
  <c r="R207" i="3" s="1"/>
  <c r="J204" i="3"/>
  <c r="H204" i="3" s="1"/>
  <c r="R204" i="3" s="1"/>
  <c r="J203" i="3"/>
  <c r="H203" i="3" s="1"/>
  <c r="R203" i="3" s="1"/>
  <c r="J206" i="3"/>
  <c r="H206" i="3" s="1"/>
  <c r="R206" i="3" s="1"/>
  <c r="J202" i="3"/>
  <c r="H202" i="3" s="1"/>
  <c r="R202" i="3" s="1"/>
  <c r="J205" i="3"/>
  <c r="H205" i="3" s="1"/>
  <c r="R205" i="3" s="1"/>
  <c r="J201" i="3"/>
  <c r="H201" i="3" s="1"/>
  <c r="R201" i="3" s="1"/>
  <c r="J199" i="3"/>
  <c r="H199" i="3" s="1"/>
  <c r="R199" i="3" s="1"/>
  <c r="J200" i="3"/>
  <c r="H200" i="3" s="1"/>
  <c r="R200" i="3" s="1"/>
  <c r="J63" i="3"/>
  <c r="J62" i="3"/>
  <c r="H62" i="3" s="1"/>
  <c r="J65" i="3"/>
  <c r="J64" i="3"/>
  <c r="H64" i="3" s="1"/>
  <c r="R64" i="3" s="1"/>
  <c r="J66" i="3"/>
  <c r="H66" i="3" s="1"/>
  <c r="R66" i="3" s="1"/>
  <c r="J209" i="3"/>
  <c r="R62" i="3" l="1"/>
  <c r="O65" i="3"/>
  <c r="H65" i="3"/>
  <c r="R65" i="3" s="1"/>
  <c r="O209" i="3"/>
  <c r="H209" i="3"/>
  <c r="R209" i="3" s="1"/>
  <c r="O63" i="3"/>
  <c r="H63" i="3"/>
  <c r="R63" i="3" s="1"/>
  <c r="O62" i="3"/>
  <c r="O64" i="3"/>
  <c r="O66" i="3"/>
  <c r="N291" i="3" l="1"/>
  <c r="O291" i="3" s="1"/>
  <c r="J195" i="3" l="1"/>
  <c r="H195" i="3" s="1"/>
  <c r="R195" i="3" s="1"/>
  <c r="J291" i="3"/>
  <c r="H291" i="3" s="1"/>
  <c r="R291" i="3" s="1"/>
  <c r="J71" i="3"/>
  <c r="H71" i="3" s="1"/>
  <c r="R71" i="3" s="1"/>
  <c r="J70" i="3"/>
  <c r="H70" i="3" s="1"/>
  <c r="R70" i="3" s="1"/>
  <c r="J69" i="3"/>
  <c r="H69" i="3" s="1"/>
  <c r="R69" i="3" s="1"/>
  <c r="J23" i="3"/>
  <c r="H23" i="3" s="1"/>
  <c r="R23" i="3" s="1"/>
  <c r="J22" i="3"/>
  <c r="H22" i="3" s="1"/>
  <c r="J24" i="3"/>
  <c r="H24" i="3" s="1"/>
  <c r="R24" i="3" s="1"/>
  <c r="J11" i="3"/>
  <c r="H11" i="3" s="1"/>
  <c r="R11" i="3" s="1"/>
  <c r="J9" i="3"/>
  <c r="H9" i="3" s="1"/>
  <c r="R9" i="3" s="1"/>
  <c r="J8" i="3"/>
  <c r="H8" i="3" s="1"/>
  <c r="R8" i="3" s="1"/>
  <c r="J6" i="3"/>
  <c r="H6" i="3" s="1"/>
  <c r="R6" i="3" s="1"/>
  <c r="J7" i="3"/>
  <c r="H7" i="3" s="1"/>
  <c r="R7" i="3" s="1"/>
  <c r="J167" i="3"/>
  <c r="H167" i="3" s="1"/>
  <c r="R167" i="3" s="1"/>
  <c r="J168" i="3"/>
  <c r="H168" i="3" s="1"/>
  <c r="R168" i="3" s="1"/>
  <c r="J166" i="3"/>
  <c r="R22" i="3" l="1"/>
  <c r="O166" i="3"/>
  <c r="H166" i="3"/>
  <c r="R166" i="3" s="1"/>
  <c r="O11" i="3"/>
  <c r="O70" i="3"/>
  <c r="O168" i="3"/>
  <c r="O7" i="3"/>
  <c r="O71" i="3"/>
  <c r="O24" i="3"/>
  <c r="O22" i="3"/>
  <c r="O167" i="3"/>
  <c r="O8" i="3"/>
  <c r="O23" i="3"/>
  <c r="O69" i="3"/>
  <c r="O6" i="3"/>
  <c r="O9" i="3"/>
  <c r="J61" i="3"/>
  <c r="H61" i="3" s="1"/>
  <c r="R61" i="3" s="1"/>
  <c r="J59" i="3"/>
  <c r="H59" i="3" s="1"/>
  <c r="R59" i="3" s="1"/>
  <c r="J60" i="3"/>
  <c r="H60" i="3" s="1"/>
  <c r="R60" i="3" s="1"/>
  <c r="H102" i="3"/>
  <c r="R102" i="3" s="1"/>
  <c r="J48" i="3"/>
  <c r="H48" i="3" s="1"/>
  <c r="R48" i="3" s="1"/>
  <c r="J273" i="3"/>
  <c r="H273" i="3" s="1"/>
  <c r="R273" i="3" s="1"/>
  <c r="J192" i="3"/>
  <c r="H192" i="3" s="1"/>
  <c r="R192" i="3" s="1"/>
  <c r="J193" i="3"/>
  <c r="H193" i="3" s="1"/>
  <c r="R193" i="3" s="1"/>
  <c r="J287" i="3"/>
  <c r="H287" i="3" s="1"/>
  <c r="R287" i="3" s="1"/>
  <c r="J282" i="3"/>
  <c r="H282" i="3" s="1"/>
  <c r="R282" i="3" s="1"/>
  <c r="J286" i="3"/>
  <c r="H286" i="3" s="1"/>
  <c r="R286" i="3" s="1"/>
  <c r="J54" i="3"/>
  <c r="H54" i="3" s="1"/>
  <c r="R54" i="3" s="1"/>
  <c r="J53" i="3"/>
  <c r="H53" i="3" s="1"/>
  <c r="R53" i="3" s="1"/>
  <c r="J52" i="3"/>
  <c r="H52" i="3" s="1"/>
  <c r="R52" i="3" s="1"/>
  <c r="J299" i="3"/>
  <c r="J292" i="3"/>
  <c r="J293" i="3"/>
  <c r="J185" i="3"/>
  <c r="H185" i="3" s="1"/>
  <c r="R185" i="3" s="1"/>
  <c r="J187" i="3"/>
  <c r="H187" i="3" s="1"/>
  <c r="R187" i="3" s="1"/>
  <c r="J188" i="3"/>
  <c r="H188" i="3" s="1"/>
  <c r="R188" i="3" s="1"/>
  <c r="J186" i="3"/>
  <c r="H186" i="3" s="1"/>
  <c r="R186" i="3" s="1"/>
  <c r="J276" i="3"/>
  <c r="H276" i="3" s="1"/>
  <c r="R276" i="3" s="1"/>
  <c r="J277" i="3"/>
  <c r="H277" i="3" s="1"/>
  <c r="R277" i="3" s="1"/>
  <c r="J278" i="3"/>
  <c r="H278" i="3" s="1"/>
  <c r="R278" i="3" s="1"/>
  <c r="J275" i="3"/>
  <c r="H275" i="3" s="1"/>
  <c r="R275" i="3" s="1"/>
  <c r="H99" i="3"/>
  <c r="R99" i="3" s="1"/>
  <c r="H98" i="3"/>
  <c r="R98" i="3" s="1"/>
  <c r="H101" i="3"/>
  <c r="R101" i="3" s="1"/>
  <c r="H97" i="3"/>
  <c r="R97" i="3" s="1"/>
  <c r="H100" i="3"/>
  <c r="R100" i="3" s="1"/>
  <c r="J270" i="3"/>
  <c r="H270" i="3" s="1"/>
  <c r="R270" i="3" s="1"/>
  <c r="J272" i="3"/>
  <c r="H272" i="3" s="1"/>
  <c r="R272" i="3" s="1"/>
  <c r="J269" i="3"/>
  <c r="H269" i="3" s="1"/>
  <c r="R269" i="3" s="1"/>
  <c r="J268" i="3"/>
  <c r="H268" i="3" s="1"/>
  <c r="R268" i="3" s="1"/>
  <c r="J271" i="3"/>
  <c r="H271" i="3" s="1"/>
  <c r="R271" i="3" s="1"/>
  <c r="J46" i="3"/>
  <c r="H46" i="3" s="1"/>
  <c r="R46" i="3" s="1"/>
  <c r="J47" i="3"/>
  <c r="H47" i="3" s="1"/>
  <c r="R47" i="3" s="1"/>
  <c r="J44" i="3"/>
  <c r="H44" i="3" s="1"/>
  <c r="R44" i="3" s="1"/>
  <c r="J43" i="3"/>
  <c r="H43" i="3" s="1"/>
  <c r="R43" i="3" s="1"/>
  <c r="J45" i="3"/>
  <c r="H45" i="3" s="1"/>
  <c r="R45" i="3" s="1"/>
  <c r="J91" i="3"/>
  <c r="H91" i="3" s="1"/>
  <c r="R91" i="3" s="1"/>
  <c r="J90" i="3"/>
  <c r="H90" i="3" s="1"/>
  <c r="R90" i="3" s="1"/>
  <c r="J93" i="3"/>
  <c r="H93" i="3" s="1"/>
  <c r="R93" i="3" s="1"/>
  <c r="J88" i="3"/>
  <c r="H88" i="3" s="1"/>
  <c r="R88" i="3" s="1"/>
  <c r="J86" i="3"/>
  <c r="H86" i="3" s="1"/>
  <c r="R86" i="3" s="1"/>
  <c r="J92" i="3"/>
  <c r="H92" i="3" s="1"/>
  <c r="R92" i="3" s="1"/>
  <c r="J87" i="3"/>
  <c r="H87" i="3" s="1"/>
  <c r="R87" i="3" s="1"/>
  <c r="J85" i="3"/>
  <c r="H85" i="3" s="1"/>
  <c r="J89" i="3"/>
  <c r="H89" i="3" s="1"/>
  <c r="R89" i="3" s="1"/>
  <c r="J284" i="3"/>
  <c r="H284" i="3" s="1"/>
  <c r="R284" i="3" s="1"/>
  <c r="J285" i="3"/>
  <c r="H285" i="3" s="1"/>
  <c r="R285" i="3" s="1"/>
  <c r="J283" i="3"/>
  <c r="H283" i="3" s="1"/>
  <c r="R283" i="3" s="1"/>
  <c r="J51" i="3"/>
  <c r="H51" i="3" s="1"/>
  <c r="R51" i="3" s="1"/>
  <c r="J50" i="3"/>
  <c r="H50" i="3" s="1"/>
  <c r="R50" i="3" s="1"/>
  <c r="J49" i="3"/>
  <c r="H49" i="3" s="1"/>
  <c r="R49" i="3" s="1"/>
  <c r="J94" i="3"/>
  <c r="H94" i="3" s="1"/>
  <c r="R94" i="3" s="1"/>
  <c r="J96" i="3"/>
  <c r="H96" i="3" s="1"/>
  <c r="R96" i="3" s="1"/>
  <c r="J95" i="3"/>
  <c r="H95" i="3" s="1"/>
  <c r="R95" i="3" s="1"/>
  <c r="J297" i="3"/>
  <c r="H297" i="3" s="1"/>
  <c r="R297" i="3" s="1"/>
  <c r="J298" i="3"/>
  <c r="H298" i="3" s="1"/>
  <c r="R298" i="3" s="1"/>
  <c r="J296" i="3"/>
  <c r="H296" i="3" s="1"/>
  <c r="R296" i="3" s="1"/>
  <c r="J184" i="3"/>
  <c r="H184" i="3" s="1"/>
  <c r="R184" i="3" s="1"/>
  <c r="J182" i="3"/>
  <c r="H182" i="3" s="1"/>
  <c r="R182" i="3" s="1"/>
  <c r="J183" i="3"/>
  <c r="H183" i="3" s="1"/>
  <c r="R183" i="3" s="1"/>
  <c r="J58" i="3"/>
  <c r="H58" i="3" s="1"/>
  <c r="R58" i="3" s="1"/>
  <c r="J56" i="3"/>
  <c r="H56" i="3" s="1"/>
  <c r="R56" i="3" s="1"/>
  <c r="J57" i="3"/>
  <c r="H57" i="3" s="1"/>
  <c r="R57" i="3" s="1"/>
  <c r="J280" i="3"/>
  <c r="H280" i="3" s="1"/>
  <c r="R280" i="3" s="1"/>
  <c r="J281" i="3"/>
  <c r="H281" i="3" s="1"/>
  <c r="R281" i="3" s="1"/>
  <c r="J279" i="3"/>
  <c r="H279" i="3" s="1"/>
  <c r="R279" i="3" s="1"/>
  <c r="J294" i="3"/>
  <c r="H294" i="3" s="1"/>
  <c r="R294" i="3" s="1"/>
  <c r="J189" i="3"/>
  <c r="H189" i="3" s="1"/>
  <c r="R189" i="3" s="1"/>
  <c r="J55" i="3"/>
  <c r="H55" i="3" s="1"/>
  <c r="R55" i="3" s="1"/>
  <c r="J257" i="3"/>
  <c r="H257" i="3" s="1"/>
  <c r="J295" i="3"/>
  <c r="H295" i="3" s="1"/>
  <c r="R295" i="3" s="1"/>
  <c r="J181" i="3"/>
  <c r="H181" i="3" s="1"/>
  <c r="R181" i="3" s="1"/>
  <c r="J274" i="3"/>
  <c r="H274" i="3" s="1"/>
  <c r="R274" i="3" s="1"/>
  <c r="R257" i="3" l="1"/>
  <c r="H302" i="3"/>
  <c r="R85" i="3"/>
  <c r="O293" i="3"/>
  <c r="H293" i="3"/>
  <c r="R293" i="3" s="1"/>
  <c r="O299" i="3"/>
  <c r="H299" i="3"/>
  <c r="R299" i="3" s="1"/>
  <c r="O292" i="3"/>
  <c r="H292" i="3"/>
  <c r="R292" i="3" s="1"/>
  <c r="O93" i="3"/>
  <c r="O58" i="3"/>
  <c r="O94" i="3"/>
  <c r="O270" i="3"/>
  <c r="O90" i="3"/>
  <c r="O188" i="3"/>
  <c r="O43" i="3"/>
  <c r="O98" i="3"/>
  <c r="O187" i="3"/>
  <c r="O60" i="3"/>
  <c r="O184" i="3"/>
  <c r="O97" i="3"/>
  <c r="O101" i="3"/>
  <c r="O99" i="3"/>
  <c r="O185" i="3"/>
  <c r="O59" i="3"/>
  <c r="O182" i="3"/>
  <c r="O55" i="3"/>
  <c r="O91" i="3"/>
  <c r="O89" i="3"/>
  <c r="O61" i="3"/>
  <c r="O88" i="3"/>
  <c r="O272" i="3"/>
  <c r="O257" i="3"/>
  <c r="O183" i="3"/>
  <c r="O100" i="3"/>
  <c r="O186" i="3"/>
  <c r="O278" i="3"/>
  <c r="O87" i="3"/>
  <c r="O271" i="3"/>
  <c r="O277" i="3"/>
  <c r="O193" i="3"/>
  <c r="O189" i="3"/>
  <c r="O45" i="3"/>
  <c r="O102" i="3"/>
  <c r="O44" i="3"/>
  <c r="O279" i="3"/>
  <c r="O47" i="3"/>
  <c r="O281" i="3"/>
  <c r="O85" i="3"/>
  <c r="O280" i="3"/>
  <c r="O57" i="3"/>
  <c r="O95" i="3"/>
  <c r="O92" i="3"/>
  <c r="O268" i="3"/>
  <c r="O276" i="3"/>
  <c r="O192" i="3"/>
  <c r="O275" i="3"/>
  <c r="O46" i="3"/>
  <c r="O181" i="3"/>
  <c r="O56" i="3"/>
  <c r="O96" i="3"/>
  <c r="O86" i="3"/>
  <c r="O269" i="3"/>
</calcChain>
</file>

<file path=xl/sharedStrings.xml><?xml version="1.0" encoding="utf-8"?>
<sst xmlns="http://schemas.openxmlformats.org/spreadsheetml/2006/main" count="2020" uniqueCount="205">
  <si>
    <t>RO</t>
  </si>
  <si>
    <t>MT</t>
  </si>
  <si>
    <t>MS</t>
  </si>
  <si>
    <t>SP</t>
  </si>
  <si>
    <t>GO</t>
  </si>
  <si>
    <t>BA</t>
  </si>
  <si>
    <t>PA</t>
  </si>
  <si>
    <t>TO</t>
  </si>
  <si>
    <t>Data</t>
  </si>
  <si>
    <t>Unidades</t>
  </si>
  <si>
    <t>UF</t>
  </si>
  <si>
    <t>Cliente</t>
  </si>
  <si>
    <t>Cidade/UF</t>
  </si>
  <si>
    <t>ICMS</t>
  </si>
  <si>
    <t>Frete</t>
  </si>
  <si>
    <t>AC</t>
  </si>
  <si>
    <t>OleoPlan RO (Cód. 3524102)</t>
  </si>
  <si>
    <t>Cacoal RO</t>
  </si>
  <si>
    <t>CIF</t>
  </si>
  <si>
    <t>20 dias</t>
  </si>
  <si>
    <t>NET</t>
  </si>
  <si>
    <t>Leme, SP</t>
  </si>
  <si>
    <t>Santos, SP</t>
  </si>
  <si>
    <t>São Paulo, SP</t>
  </si>
  <si>
    <t>OleoPlan BA (2013943) - Biodiesel</t>
  </si>
  <si>
    <t>Iraquara, BA</t>
  </si>
  <si>
    <t>Binatural BA (4032092)  - Biodiesel</t>
  </si>
  <si>
    <t>Simões Filho, BA</t>
  </si>
  <si>
    <t>30 dias</t>
  </si>
  <si>
    <t>Petropolis Ind. Prod. Limp (308307)</t>
  </si>
  <si>
    <t>Brazabrantes, GO</t>
  </si>
  <si>
    <t>FOB</t>
  </si>
  <si>
    <t>Antecipado</t>
  </si>
  <si>
    <t>Binatural Biodisel GO (1083054)</t>
  </si>
  <si>
    <t>Formosa, GO</t>
  </si>
  <si>
    <t>30 Dias</t>
  </si>
  <si>
    <t>10 dias</t>
  </si>
  <si>
    <t>PIS/COF.</t>
  </si>
  <si>
    <t>Rio Brilhante MS</t>
  </si>
  <si>
    <t>Be8 S/A PR (1956963)</t>
  </si>
  <si>
    <t>Marialva PR</t>
  </si>
  <si>
    <t>Potencial Biodiesel (1835790)</t>
  </si>
  <si>
    <t>Lapa, PR</t>
  </si>
  <si>
    <t>Cuiabá, MT</t>
  </si>
  <si>
    <t>PGT</t>
  </si>
  <si>
    <t>Be8 S/A PA (Biodiesel)</t>
  </si>
  <si>
    <t>Tomé-Açu, PA</t>
  </si>
  <si>
    <t>Sto Ant. do Tauá, PA</t>
  </si>
  <si>
    <t>RS</t>
  </si>
  <si>
    <t>Razzo (90693) (3,5% Acidez)</t>
  </si>
  <si>
    <t>A definir</t>
  </si>
  <si>
    <t>OleoPlan PA (3896765) - Biodiesel</t>
  </si>
  <si>
    <t>Bionorte Biodiesel</t>
  </si>
  <si>
    <t>São Miguel do Araguaia, GO</t>
  </si>
  <si>
    <t>14 Dias</t>
  </si>
  <si>
    <t>Rio Verde, GO</t>
  </si>
  <si>
    <t>Agrop. Olhos Verdes - GO</t>
  </si>
  <si>
    <t>Agrop. Olhos Verdes - MS</t>
  </si>
  <si>
    <t>Cassilândia, MS</t>
  </si>
  <si>
    <t>Teodoro Sampaio, BA</t>
  </si>
  <si>
    <t>Agrop. Olhos Verdes - SP</t>
  </si>
  <si>
    <t>Jales, SP</t>
  </si>
  <si>
    <t>Bariri, SP</t>
  </si>
  <si>
    <t>Cicol - Caminero - 3,5%</t>
  </si>
  <si>
    <t>Quimica Amparo (Ypê)</t>
  </si>
  <si>
    <t xml:space="preserve">Higident </t>
  </si>
  <si>
    <t>Amparo, SP</t>
  </si>
  <si>
    <t>Itajubá, MG</t>
  </si>
  <si>
    <t>Palmas,TO</t>
  </si>
  <si>
    <t>Paragominas</t>
  </si>
  <si>
    <t>Indama (Rafael)</t>
  </si>
  <si>
    <t>Capim Dourado (Rafael)</t>
  </si>
  <si>
    <t>Bahia Rendering - BA</t>
  </si>
  <si>
    <t>Ind. Reunidas Raymundo da Fonte</t>
  </si>
  <si>
    <t>Paulista, PE</t>
  </si>
  <si>
    <t>Goiás Rendering - SP</t>
  </si>
  <si>
    <t>Batatais, SP</t>
  </si>
  <si>
    <t>Nova Marilândia, MT</t>
  </si>
  <si>
    <t>Alto Araguaia, MT</t>
  </si>
  <si>
    <t>Be8 MT At. Arag.(63.228.664/0001-22)</t>
  </si>
  <si>
    <t>Be8 MT Nv. Mar. (08.684.263/0001-79)</t>
  </si>
  <si>
    <t>Lucas do Rio Verde, MT</t>
  </si>
  <si>
    <t>OleoPlan MT (31.090.078/0001-78)</t>
  </si>
  <si>
    <t>Agrop. Olhos Verdes - MT</t>
  </si>
  <si>
    <t>14 dias</t>
  </si>
  <si>
    <t>Ribeirãozinho, MT</t>
  </si>
  <si>
    <t xml:space="preserve">Grax. Braido - P/ Exp. S/ Traces </t>
  </si>
  <si>
    <t>Minerva Foods (Rem. Exportação)</t>
  </si>
  <si>
    <t>Minerva Foods Biodiesel</t>
  </si>
  <si>
    <t>Palmeiras de Goiás, GO</t>
  </si>
  <si>
    <t>Flora GO</t>
  </si>
  <si>
    <t>Luziania, GO</t>
  </si>
  <si>
    <t>60 Dias</t>
  </si>
  <si>
    <t>Flora SP</t>
  </si>
  <si>
    <t>Lins, SP</t>
  </si>
  <si>
    <t>Campo Verde, MT</t>
  </si>
  <si>
    <t>Maranello (Adriel)</t>
  </si>
  <si>
    <t>Senador Canedo</t>
  </si>
  <si>
    <t>Goiânia</t>
  </si>
  <si>
    <t>Mozarlândia</t>
  </si>
  <si>
    <t>Naviraí</t>
  </si>
  <si>
    <t>CPG/CGR</t>
  </si>
  <si>
    <t>Anastácio</t>
  </si>
  <si>
    <t xml:space="preserve">Barra do Garças </t>
  </si>
  <si>
    <t xml:space="preserve">Diamantino </t>
  </si>
  <si>
    <t>Agua Boa</t>
  </si>
  <si>
    <t xml:space="preserve">Colider  </t>
  </si>
  <si>
    <t xml:space="preserve">Pontes e Lacerda  </t>
  </si>
  <si>
    <t xml:space="preserve">Alta Floresta  </t>
  </si>
  <si>
    <t>Araputanga</t>
  </si>
  <si>
    <t>Confresa</t>
  </si>
  <si>
    <t>Juara</t>
  </si>
  <si>
    <t>Lins LIN (3,5% Acidez)</t>
  </si>
  <si>
    <t>Barretos (5% Acidez)</t>
  </si>
  <si>
    <t xml:space="preserve">Itapetinga </t>
  </si>
  <si>
    <t xml:space="preserve">Casa de Tábua </t>
  </si>
  <si>
    <t xml:space="preserve">Marabá </t>
  </si>
  <si>
    <t>Redenção</t>
  </si>
  <si>
    <t>Santana do Araguaia</t>
  </si>
  <si>
    <t xml:space="preserve">Tucumã </t>
  </si>
  <si>
    <t xml:space="preserve">Araguaína </t>
  </si>
  <si>
    <t>Lins</t>
  </si>
  <si>
    <t>Barretos</t>
  </si>
  <si>
    <t>Andradina</t>
  </si>
  <si>
    <t xml:space="preserve">Vilhena </t>
  </si>
  <si>
    <t xml:space="preserve">Pimenta Bueno </t>
  </si>
  <si>
    <t xml:space="preserve">São M. Guaporé </t>
  </si>
  <si>
    <t xml:space="preserve">Porto Velho </t>
  </si>
  <si>
    <t>Rio Branco</t>
  </si>
  <si>
    <t>Lins (LIN)</t>
  </si>
  <si>
    <t>Lins (LIF)</t>
  </si>
  <si>
    <t>Andradina (AND)</t>
  </si>
  <si>
    <t>Andradina (ANF)</t>
  </si>
  <si>
    <t>Delta Cuiabá (Cód. 2449546) (5% Acidez)</t>
  </si>
  <si>
    <t>Delta Rio Brilhante (1656269) (5% Acidez)</t>
  </si>
  <si>
    <t>Andradina AND (3,5% Acidez)</t>
  </si>
  <si>
    <t>Barretos (3,5% Acidez)</t>
  </si>
  <si>
    <t>Palmas, TO</t>
  </si>
  <si>
    <t>Várzea Grande, MT</t>
  </si>
  <si>
    <t>Aparecida de Goiânia, GO</t>
  </si>
  <si>
    <t>Prisma Biodiesel</t>
  </si>
  <si>
    <t>Sumaré, SP</t>
  </si>
  <si>
    <t>Araguaína</t>
  </si>
  <si>
    <t>Vilhena</t>
  </si>
  <si>
    <t>São Miguel do Guporé</t>
  </si>
  <si>
    <t>Porto Velho</t>
  </si>
  <si>
    <t>Alta Floresta</t>
  </si>
  <si>
    <t>Barra do Garças</t>
  </si>
  <si>
    <t>Colider</t>
  </si>
  <si>
    <t>Diamantino</t>
  </si>
  <si>
    <t>Pontes e Lacerda</t>
  </si>
  <si>
    <t>Casa de Tábua</t>
  </si>
  <si>
    <t>Pimenta Bueno</t>
  </si>
  <si>
    <t>Andradina AND</t>
  </si>
  <si>
    <t>Andradina ANF</t>
  </si>
  <si>
    <t>São Miguel do Guaporé</t>
  </si>
  <si>
    <t xml:space="preserve">
$ Oferta</t>
  </si>
  <si>
    <t xml:space="preserve"> $ Frete SP</t>
  </si>
  <si>
    <t>$ Frete Cliente</t>
  </si>
  <si>
    <t>$ Base SP 12%</t>
  </si>
  <si>
    <t>Volume</t>
  </si>
  <si>
    <t>Desvio</t>
  </si>
  <si>
    <t>Carteira</t>
  </si>
  <si>
    <t>CPG</t>
  </si>
  <si>
    <t>CGR</t>
  </si>
  <si>
    <t>CRV Agropecuária TO</t>
  </si>
  <si>
    <t>CRV Agropecuária MT</t>
  </si>
  <si>
    <t>CRV Agropecuária GO</t>
  </si>
  <si>
    <t>OBS</t>
  </si>
  <si>
    <t>Não Apresentou Oferta para essa planta</t>
  </si>
  <si>
    <t>JBS - BioPower Lins</t>
  </si>
  <si>
    <t>JBS - BioPower Campo Verde</t>
  </si>
  <si>
    <t>Não apresentou Oferta até o envio dessa cotação</t>
  </si>
  <si>
    <t>Não Apresentou Oferta até o evio dessa cotação</t>
  </si>
  <si>
    <t>Lins LIN (5% Acidez)</t>
  </si>
  <si>
    <t>Andradina AND (5% Acidez)</t>
  </si>
  <si>
    <t>Unidades JBS</t>
  </si>
  <si>
    <t>Clientes</t>
  </si>
  <si>
    <t>Mirandopolis, SP</t>
  </si>
  <si>
    <t>Ind Quím. Perfect - Hig/Limp. (Sebo 3,5%)</t>
  </si>
  <si>
    <t>FASA (FOB Faturamento export.)</t>
  </si>
  <si>
    <t>Cliente não apresentou Oferta essa semana</t>
  </si>
  <si>
    <t>Cliente não apresentou Ofertas essa semana</t>
  </si>
  <si>
    <t>Cliente não mostrou oferta para essa planta</t>
  </si>
  <si>
    <t>Porangatu, GO</t>
  </si>
  <si>
    <t>NumberOne (Adriel)</t>
  </si>
  <si>
    <t>Lins LIF (3,5% Acidez)</t>
  </si>
  <si>
    <t>Andradina ANF (3,5% Acidez)</t>
  </si>
  <si>
    <t>Capim Dourado Bahia (Rafael)</t>
  </si>
  <si>
    <t>Camacari, BA</t>
  </si>
  <si>
    <t>Cruzalia, SP</t>
  </si>
  <si>
    <t>Agromartins (3,5% Acidez)</t>
  </si>
  <si>
    <t xml:space="preserve">Lins </t>
  </si>
  <si>
    <t>Preço / Formula</t>
  </si>
  <si>
    <t>Volume de 01 carga dia</t>
  </si>
  <si>
    <t xml:space="preserve">Fora de compra essa semana </t>
  </si>
  <si>
    <t>Simulação/preço / Wagner</t>
  </si>
  <si>
    <t>Goiás Rendering - GO FOB Acidez 5 a 12%</t>
  </si>
  <si>
    <t>Goiás Rendering - GO CIF Acidez 3,5%</t>
  </si>
  <si>
    <t>Goiás Rendering - GO CIF Acidez 5%</t>
  </si>
  <si>
    <t>Goiás Rendering - GO FOB Acidez 5%</t>
  </si>
  <si>
    <t xml:space="preserve">NET </t>
  </si>
  <si>
    <t>Ficou de apresentar oferta Sex 28/08</t>
  </si>
  <si>
    <t>+R$50</t>
  </si>
  <si>
    <t>+R$ 100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</si>
</sst>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R$&quot;\ #,##0;[Red]\-&quot;R$&quot;\ #,##0"/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"/>
    <numFmt numFmtId="165" formatCode="0.000%"/>
    <numFmt numFmtId="166" formatCode="0.0%"/>
    <numFmt numFmtId="167" formatCode="&quot;R$&quot;\ #,##0.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0"/>
      <color rgb="FFFFFFFF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9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3" fontId="3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" fontId="1" fillId="3" borderId="1" xfId="0" applyNumberFormat="1" applyFont="1" applyFill="1" applyBorder="1" applyAlignment="1">
      <alignment horizontal="center"/>
    </xf>
    <xf numFmtId="3" fontId="1" fillId="3" borderId="1" xfId="0" applyNumberFormat="1" applyFont="1" applyFill="1" applyBorder="1" applyAlignment="1">
      <alignment horizontal="left"/>
    </xf>
    <xf numFmtId="3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Protection="1">
      <protection locked="0"/>
    </xf>
    <xf numFmtId="9" fontId="5" fillId="3" borderId="1" xfId="2" applyFont="1" applyFill="1" applyBorder="1" applyAlignment="1" applyProtection="1">
      <alignment horizontal="center"/>
      <protection locked="0"/>
    </xf>
    <xf numFmtId="0" fontId="5" fillId="3" borderId="1" xfId="0" applyFont="1" applyFill="1" applyBorder="1" applyAlignment="1" applyProtection="1">
      <alignment horizontal="center"/>
      <protection locked="0"/>
    </xf>
    <xf numFmtId="0" fontId="5" fillId="3" borderId="3" xfId="0" applyFont="1" applyFill="1" applyBorder="1" applyAlignment="1" applyProtection="1">
      <alignment horizontal="center"/>
      <protection locked="0"/>
    </xf>
    <xf numFmtId="164" fontId="1" fillId="4" borderId="1" xfId="1" applyNumberFormat="1" applyFont="1" applyFill="1" applyBorder="1" applyAlignment="1" applyProtection="1">
      <alignment horizontal="center"/>
      <protection locked="0"/>
    </xf>
    <xf numFmtId="3" fontId="1" fillId="5" borderId="2" xfId="0" applyNumberFormat="1" applyFont="1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left"/>
      <protection locked="0"/>
    </xf>
    <xf numFmtId="165" fontId="5" fillId="3" borderId="1" xfId="2" applyNumberFormat="1" applyFont="1" applyFill="1" applyBorder="1" applyAlignment="1" applyProtection="1">
      <alignment horizontal="center"/>
      <protection locked="0"/>
    </xf>
    <xf numFmtId="0" fontId="6" fillId="3" borderId="1" xfId="0" applyFont="1" applyFill="1" applyBorder="1" applyAlignment="1" applyProtection="1">
      <alignment horizontal="center"/>
      <protection locked="0"/>
    </xf>
    <xf numFmtId="9" fontId="5" fillId="3" borderId="1" xfId="2" applyFont="1" applyFill="1" applyBorder="1" applyAlignment="1" applyProtection="1">
      <alignment horizontal="center"/>
    </xf>
    <xf numFmtId="0" fontId="5" fillId="3" borderId="1" xfId="0" applyFont="1" applyFill="1" applyBorder="1" applyAlignment="1">
      <alignment horizontal="center"/>
    </xf>
    <xf numFmtId="9" fontId="5" fillId="5" borderId="1" xfId="2" applyFont="1" applyFill="1" applyBorder="1" applyAlignment="1" applyProtection="1">
      <alignment horizontal="center"/>
      <protection locked="0"/>
    </xf>
    <xf numFmtId="9" fontId="5" fillId="5" borderId="1" xfId="2" applyFont="1" applyFill="1" applyBorder="1" applyAlignment="1" applyProtection="1">
      <alignment horizontal="center"/>
    </xf>
    <xf numFmtId="0" fontId="5" fillId="3" borderId="3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164" fontId="8" fillId="3" borderId="1" xfId="1" applyNumberFormat="1" applyFont="1" applyFill="1" applyBorder="1" applyAlignment="1" applyProtection="1">
      <alignment horizontal="center"/>
      <protection locked="0"/>
    </xf>
    <xf numFmtId="164" fontId="8" fillId="3" borderId="2" xfId="1" applyNumberFormat="1" applyFont="1" applyFill="1" applyBorder="1" applyAlignment="1" applyProtection="1">
      <alignment horizontal="center"/>
      <protection locked="0"/>
    </xf>
    <xf numFmtId="3" fontId="9" fillId="3" borderId="1" xfId="0" applyNumberFormat="1" applyFont="1" applyFill="1" applyBorder="1" applyAlignment="1">
      <alignment horizontal="left"/>
    </xf>
    <xf numFmtId="3" fontId="9" fillId="3" borderId="1" xfId="0" applyNumberFormat="1" applyFont="1" applyFill="1" applyBorder="1" applyAlignment="1">
      <alignment horizontal="center"/>
    </xf>
    <xf numFmtId="0" fontId="9" fillId="3" borderId="1" xfId="0" applyFont="1" applyFill="1" applyBorder="1" applyProtection="1">
      <protection locked="0"/>
    </xf>
    <xf numFmtId="3" fontId="0" fillId="0" borderId="0" xfId="0" applyNumberFormat="1"/>
    <xf numFmtId="3" fontId="4" fillId="2" borderId="1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 applyProtection="1">
      <alignment horizontal="center"/>
      <protection locked="0"/>
    </xf>
    <xf numFmtId="3" fontId="7" fillId="3" borderId="3" xfId="0" applyNumberFormat="1" applyFont="1" applyFill="1" applyBorder="1" applyAlignment="1">
      <alignment horizontal="center"/>
    </xf>
    <xf numFmtId="3" fontId="7" fillId="3" borderId="3" xfId="0" applyNumberFormat="1" applyFont="1" applyFill="1" applyBorder="1" applyAlignment="1" applyProtection="1">
      <alignment horizontal="center"/>
      <protection locked="0"/>
    </xf>
    <xf numFmtId="3" fontId="5" fillId="3" borderId="1" xfId="0" applyNumberFormat="1" applyFont="1" applyFill="1" applyBorder="1" applyAlignment="1" applyProtection="1">
      <alignment horizontal="center"/>
      <protection locked="0"/>
    </xf>
    <xf numFmtId="3" fontId="5" fillId="3" borderId="3" xfId="0" applyNumberFormat="1" applyFont="1" applyFill="1" applyBorder="1" applyAlignment="1">
      <alignment horizontal="center"/>
    </xf>
    <xf numFmtId="3" fontId="5" fillId="0" borderId="3" xfId="0" applyNumberFormat="1" applyFont="1" applyFill="1" applyBorder="1" applyAlignment="1" applyProtection="1">
      <alignment horizontal="center"/>
      <protection locked="0"/>
    </xf>
    <xf numFmtId="3" fontId="5" fillId="0" borderId="1" xfId="0" applyNumberFormat="1" applyFont="1" applyFill="1" applyBorder="1" applyAlignment="1" applyProtection="1">
      <alignment horizontal="center"/>
      <protection locked="0"/>
    </xf>
    <xf numFmtId="3" fontId="7" fillId="3" borderId="1" xfId="0" applyNumberFormat="1" applyFont="1" applyFill="1" applyBorder="1" applyAlignment="1" applyProtection="1">
      <alignment horizontal="center"/>
      <protection locked="0"/>
    </xf>
    <xf numFmtId="0" fontId="3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 applyProtection="1">
      <alignment horizontal="center"/>
      <protection locked="0"/>
    </xf>
    <xf numFmtId="165" fontId="5" fillId="5" borderId="1" xfId="2" applyNumberFormat="1" applyFont="1" applyFill="1" applyBorder="1" applyAlignment="1" applyProtection="1">
      <alignment horizontal="center"/>
      <protection locked="0"/>
    </xf>
    <xf numFmtId="0" fontId="0" fillId="3" borderId="0" xfId="0" applyFill="1"/>
    <xf numFmtId="3" fontId="7" fillId="3" borderId="1" xfId="0" applyNumberFormat="1" applyFont="1" applyFill="1" applyBorder="1" applyAlignment="1">
      <alignment horizontal="center"/>
    </xf>
    <xf numFmtId="3" fontId="5" fillId="3" borderId="1" xfId="0" applyNumberFormat="1" applyFont="1" applyFill="1" applyBorder="1" applyAlignment="1">
      <alignment horizontal="center"/>
    </xf>
    <xf numFmtId="0" fontId="9" fillId="0" borderId="1" xfId="0" applyFont="1" applyBorder="1" applyAlignment="1" applyProtection="1">
      <alignment horizontal="left"/>
      <protection locked="0"/>
    </xf>
    <xf numFmtId="0" fontId="10" fillId="3" borderId="0" xfId="0" applyFont="1" applyFill="1"/>
    <xf numFmtId="164" fontId="9" fillId="3" borderId="2" xfId="1" applyNumberFormat="1" applyFont="1" applyFill="1" applyBorder="1" applyAlignment="1" applyProtection="1">
      <alignment horizontal="center"/>
      <protection locked="0"/>
    </xf>
    <xf numFmtId="16" fontId="9" fillId="3" borderId="1" xfId="0" applyNumberFormat="1" applyFont="1" applyFill="1" applyBorder="1" applyAlignment="1">
      <alignment horizontal="center"/>
    </xf>
    <xf numFmtId="3" fontId="1" fillId="0" borderId="1" xfId="0" applyNumberFormat="1" applyFont="1" applyFill="1" applyBorder="1" applyAlignment="1">
      <alignment horizontal="left"/>
    </xf>
    <xf numFmtId="3" fontId="1" fillId="0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3" fontId="9" fillId="5" borderId="2" xfId="0" applyNumberFormat="1" applyFont="1" applyFill="1" applyBorder="1" applyAlignment="1" applyProtection="1">
      <alignment horizontal="center"/>
      <protection locked="0"/>
    </xf>
    <xf numFmtId="9" fontId="7" fillId="3" borderId="1" xfId="2" applyFont="1" applyFill="1" applyBorder="1" applyAlignment="1" applyProtection="1">
      <alignment horizontal="center"/>
    </xf>
    <xf numFmtId="165" fontId="7" fillId="5" borderId="1" xfId="2" applyNumberFormat="1" applyFont="1" applyFill="1" applyBorder="1" applyAlignment="1" applyProtection="1">
      <alignment horizontal="center"/>
      <protection locked="0"/>
    </xf>
    <xf numFmtId="0" fontId="7" fillId="3" borderId="1" xfId="0" applyFont="1" applyFill="1" applyBorder="1" applyAlignment="1" applyProtection="1">
      <alignment horizontal="center"/>
      <protection locked="0"/>
    </xf>
    <xf numFmtId="0" fontId="7" fillId="3" borderId="3" xfId="0" applyFont="1" applyFill="1" applyBorder="1" applyAlignment="1" applyProtection="1">
      <alignment horizontal="center"/>
      <protection locked="0"/>
    </xf>
    <xf numFmtId="3" fontId="9" fillId="3" borderId="2" xfId="1" applyNumberFormat="1" applyFont="1" applyFill="1" applyBorder="1" applyAlignment="1" applyProtection="1">
      <alignment horizontal="center"/>
      <protection locked="0"/>
    </xf>
    <xf numFmtId="166" fontId="1" fillId="3" borderId="1" xfId="2" applyNumberFormat="1" applyFont="1" applyFill="1" applyBorder="1" applyAlignment="1">
      <alignment horizontal="center"/>
    </xf>
    <xf numFmtId="0" fontId="1" fillId="4" borderId="0" xfId="0" applyFont="1" applyFill="1"/>
    <xf numFmtId="0" fontId="0" fillId="4" borderId="0" xfId="0" applyFill="1"/>
    <xf numFmtId="0" fontId="9" fillId="3" borderId="1" xfId="0" applyFont="1" applyFill="1" applyBorder="1" applyAlignment="1" applyProtection="1">
      <alignment horizontal="center"/>
      <protection locked="0"/>
    </xf>
    <xf numFmtId="9" fontId="7" fillId="5" borderId="1" xfId="2" applyFont="1" applyFill="1" applyBorder="1" applyAlignment="1" applyProtection="1">
      <alignment horizontal="center"/>
      <protection locked="0"/>
    </xf>
    <xf numFmtId="165" fontId="7" fillId="3" borderId="1" xfId="2" applyNumberFormat="1" applyFont="1" applyFill="1" applyBorder="1" applyAlignment="1" applyProtection="1">
      <alignment horizontal="center"/>
      <protection locked="0"/>
    </xf>
    <xf numFmtId="164" fontId="9" fillId="4" borderId="1" xfId="1" applyNumberFormat="1" applyFont="1" applyFill="1" applyBorder="1" applyAlignment="1" applyProtection="1">
      <alignment horizontal="center"/>
      <protection locked="0"/>
    </xf>
    <xf numFmtId="0" fontId="10" fillId="0" borderId="0" xfId="0" applyFont="1"/>
    <xf numFmtId="0" fontId="0" fillId="0" borderId="1" xfId="0" applyBorder="1" applyAlignment="1">
      <alignment horizontal="left"/>
    </xf>
    <xf numFmtId="0" fontId="11" fillId="3" borderId="1" xfId="0" applyFont="1" applyFill="1" applyBorder="1" applyProtection="1">
      <protection locked="0"/>
    </xf>
    <xf numFmtId="0" fontId="12" fillId="0" borderId="1" xfId="0" applyFont="1" applyBorder="1" applyAlignment="1">
      <alignment horizontal="left"/>
    </xf>
    <xf numFmtId="3" fontId="1" fillId="5" borderId="2" xfId="0" applyNumberFormat="1" applyFont="1" applyFill="1" applyBorder="1" applyAlignment="1" applyProtection="1">
      <alignment horizontal="center"/>
    </xf>
    <xf numFmtId="165" fontId="5" fillId="3" borderId="1" xfId="2" applyNumberFormat="1" applyFont="1" applyFill="1" applyBorder="1" applyAlignment="1" applyProtection="1">
      <alignment horizontal="center"/>
    </xf>
    <xf numFmtId="0" fontId="5" fillId="3" borderId="1" xfId="0" applyFont="1" applyFill="1" applyBorder="1" applyAlignment="1" applyProtection="1">
      <alignment horizontal="center"/>
    </xf>
    <xf numFmtId="164" fontId="1" fillId="4" borderId="1" xfId="1" applyNumberFormat="1" applyFont="1" applyFill="1" applyBorder="1" applyAlignment="1" applyProtection="1">
      <alignment horizontal="center"/>
    </xf>
    <xf numFmtId="0" fontId="0" fillId="0" borderId="0" xfId="0" applyProtection="1"/>
    <xf numFmtId="6" fontId="0" fillId="0" borderId="1" xfId="0" quotePrefix="1" applyNumberFormat="1" applyBorder="1" applyAlignment="1">
      <alignment horizontal="left"/>
    </xf>
    <xf numFmtId="0" fontId="0" fillId="0" borderId="1" xfId="0" quotePrefix="1" applyBorder="1" applyAlignment="1">
      <alignment horizontal="left"/>
    </xf>
    <xf numFmtId="0" fontId="0" fillId="0" borderId="1" xfId="0" quotePrefix="1" applyBorder="1" applyAlignment="1" applyProtection="1">
      <alignment horizontal="left"/>
    </xf>
    <xf numFmtId="6" fontId="0" fillId="3" borderId="1" xfId="0" quotePrefix="1" applyNumberFormat="1" applyFill="1" applyBorder="1" applyAlignment="1">
      <alignment horizontal="left"/>
    </xf>
    <xf numFmtId="164" fontId="9" fillId="3" borderId="0" xfId="1" applyNumberFormat="1" applyFont="1" applyFill="1" applyBorder="1" applyAlignment="1" applyProtection="1">
      <alignment horizontal="center"/>
      <protection locked="0"/>
    </xf>
    <xf numFmtId="0" fontId="0" fillId="0" borderId="1" xfId="0" applyBorder="1"/>
    <xf numFmtId="164" fontId="0" fillId="0" borderId="1" xfId="0" applyNumberFormat="1" applyBorder="1" applyAlignment="1">
      <alignment horizontal="left"/>
    </xf>
    <xf numFmtId="167" fontId="8" fillId="3" borderId="2" xfId="1" applyNumberFormat="1" applyFont="1" applyFill="1" applyBorder="1" applyAlignment="1" applyProtection="1">
      <alignment horizontal="center"/>
      <protection locked="0"/>
    </xf>
    <xf numFmtId="0" fontId="5" fillId="3" borderId="3" xfId="0" applyFont="1" applyFill="1" applyBorder="1" applyAlignment="1" applyProtection="1">
      <alignment horizontal="center"/>
    </xf>
    <xf numFmtId="3" fontId="5" fillId="3" borderId="1" xfId="0" applyNumberFormat="1" applyFont="1" applyFill="1" applyBorder="1" applyAlignment="1" applyProtection="1">
      <alignment horizontal="center"/>
    </xf>
    <xf numFmtId="3" fontId="5" fillId="3" borderId="2" xfId="0" applyNumberFormat="1" applyFont="1" applyFill="1" applyBorder="1" applyAlignment="1" applyProtection="1">
      <alignment horizontal="center"/>
      <protection locked="0"/>
    </xf>
    <xf numFmtId="3" fontId="7" fillId="3" borderId="1" xfId="0" applyNumberFormat="1" applyFont="1" applyFill="1" applyBorder="1" applyAlignment="1" applyProtection="1">
      <alignment horizontal="center"/>
    </xf>
    <xf numFmtId="0" fontId="0" fillId="0" borderId="0" xfId="0" applyBorder="1"/>
    <xf numFmtId="164" fontId="0" fillId="0" borderId="0" xfId="0" applyNumberFormat="1" applyAlignment="1">
      <alignment horizontal="center"/>
    </xf>
    <xf numFmtId="165" fontId="0" fillId="0" borderId="0" xfId="0" applyNumberFormat="1"/>
    <xf numFmtId="164" fontId="8" fillId="0" borderId="2" xfId="1" applyNumberFormat="1" applyFont="1" applyFill="1" applyBorder="1" applyAlignment="1" applyProtection="1">
      <alignment horizontal="center"/>
      <protection locked="0"/>
    </xf>
    <xf numFmtId="0" fontId="12" fillId="0" borderId="0" xfId="0" applyFont="1"/>
    <xf numFmtId="164" fontId="12" fillId="0" borderId="0" xfId="0" applyNumberFormat="1" applyFont="1"/>
    <xf numFmtId="0" fontId="12" fillId="0" borderId="0" xfId="0" applyFont="1" applyAlignment="1">
      <alignment horizontal="left"/>
    </xf>
    <xf numFmtId="164" fontId="9" fillId="3" borderId="1" xfId="1" applyNumberFormat="1" applyFont="1" applyFill="1" applyBorder="1" applyAlignment="1" applyProtection="1">
      <alignment horizontal="center"/>
      <protection locked="0"/>
    </xf>
    <xf numFmtId="164" fontId="9" fillId="0" borderId="2" xfId="1" applyNumberFormat="1" applyFont="1" applyFill="1" applyBorder="1" applyAlignment="1" applyProtection="1">
      <alignment horizontal="center"/>
      <protection locked="0"/>
    </xf>
    <xf numFmtId="166" fontId="12" fillId="0" borderId="0" xfId="2" applyNumberFormat="1" applyFont="1"/>
    <xf numFmtId="166" fontId="12" fillId="0" borderId="0" xfId="2" applyNumberFormat="1" applyFont="1" applyAlignment="1">
      <alignment horizontal="center"/>
    </xf>
    <xf numFmtId="164" fontId="9" fillId="0" borderId="1" xfId="1" applyNumberFormat="1" applyFont="1" applyFill="1" applyBorder="1" applyAlignment="1" applyProtection="1">
      <alignment horizontal="center"/>
      <protection locked="0"/>
    </xf>
    <xf numFmtId="8" fontId="0" fillId="0" borderId="1" xfId="0" quotePrefix="1" applyNumberFormat="1" applyBorder="1" applyAlignment="1">
      <alignment horizontal="left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0000FF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13"/>
  <sheetViews>
    <sheetView showGridLines="0" tabSelected="1" zoomScale="90" zoomScaleNormal="90" workbookViewId="0">
      <pane ySplit="2" topLeftCell="A88" activePane="bottomLeft" state="frozen"/>
      <selection pane="bottomLeft" activeCell="F228" sqref="F228"/>
    </sheetView>
  </sheetViews>
  <sheetFormatPr defaultRowHeight="14.5" outlineLevelCol="1" x14ac:dyDescent="0.35"/>
  <cols>
    <col min="1" max="1" width="1" customWidth="1"/>
    <col min="2" max="2" width="7.7265625" customWidth="1"/>
    <col min="3" max="3" width="26.26953125" style="42" bestFit="1" customWidth="1"/>
    <col min="4" max="4" width="8.1796875" bestFit="1" customWidth="1"/>
    <col min="5" max="5" width="36.81640625" bestFit="1" customWidth="1"/>
    <col min="6" max="6" width="25.36328125" bestFit="1" customWidth="1"/>
    <col min="7" max="7" width="10.36328125" customWidth="1"/>
    <col min="8" max="8" width="11.81640625" bestFit="1" customWidth="1"/>
    <col min="9" max="9" width="10.36328125" hidden="1" customWidth="1" outlineLevel="1"/>
    <col min="10" max="10" width="13.08984375" hidden="1" customWidth="1" outlineLevel="1"/>
    <col min="11" max="11" width="10.453125" hidden="1" customWidth="1" outlineLevel="1"/>
    <col min="12" max="12" width="9.7265625" hidden="1" customWidth="1" outlineLevel="1"/>
    <col min="13" max="13" width="11.81640625" style="29" hidden="1" customWidth="1" outlineLevel="1"/>
    <col min="14" max="14" width="9.1796875" style="29" hidden="1" customWidth="1" outlineLevel="1"/>
    <col min="15" max="15" width="14.7265625" hidden="1" customWidth="1" outlineLevel="1"/>
    <col min="16" max="16" width="54.7265625" bestFit="1" customWidth="1" collapsed="1"/>
    <col min="17" max="17" width="3.453125" customWidth="1"/>
    <col min="18" max="18" width="10.6328125" bestFit="1" customWidth="1"/>
    <col min="19" max="19" width="10.6328125" style="51" bestFit="1" customWidth="1"/>
    <col min="20" max="20" width="14.7265625" bestFit="1" customWidth="1"/>
    <col min="21" max="21" width="9" bestFit="1" customWidth="1"/>
    <col min="22" max="22" width="35" bestFit="1" customWidth="1"/>
    <col min="23" max="23" width="19.26953125" bestFit="1" customWidth="1"/>
    <col min="24" max="24" width="14.6328125" bestFit="1" customWidth="1"/>
    <col min="25" max="25" width="10.08984375" bestFit="1" customWidth="1"/>
  </cols>
  <sheetData>
    <row r="1" spans="1:26" x14ac:dyDescent="0.35">
      <c r="S1" s="59" t="s">
        <v>162</v>
      </c>
      <c r="T1" s="60"/>
      <c r="U1" s="60"/>
      <c r="V1" s="60"/>
      <c r="W1" s="60"/>
      <c r="X1" s="60"/>
      <c r="Y1" s="60"/>
      <c r="Z1" s="60"/>
    </row>
    <row r="2" spans="1:26" ht="26" x14ac:dyDescent="0.35">
      <c r="B2" s="1" t="s">
        <v>8</v>
      </c>
      <c r="C2" s="1" t="s">
        <v>176</v>
      </c>
      <c r="D2" s="1" t="s">
        <v>10</v>
      </c>
      <c r="E2" s="2" t="s">
        <v>177</v>
      </c>
      <c r="F2" s="2" t="s">
        <v>12</v>
      </c>
      <c r="G2" s="3" t="s">
        <v>156</v>
      </c>
      <c r="H2" s="3" t="s">
        <v>201</v>
      </c>
      <c r="I2" s="4" t="s">
        <v>13</v>
      </c>
      <c r="J2" s="4" t="s">
        <v>37</v>
      </c>
      <c r="K2" s="4" t="s">
        <v>14</v>
      </c>
      <c r="L2" s="4" t="s">
        <v>44</v>
      </c>
      <c r="M2" s="30" t="s">
        <v>157</v>
      </c>
      <c r="N2" s="30" t="s">
        <v>158</v>
      </c>
      <c r="O2" s="39" t="s">
        <v>159</v>
      </c>
      <c r="P2" s="3" t="s">
        <v>168</v>
      </c>
      <c r="R2" s="1" t="s">
        <v>161</v>
      </c>
      <c r="S2" s="1" t="s">
        <v>8</v>
      </c>
      <c r="T2" s="1" t="s">
        <v>9</v>
      </c>
      <c r="U2" s="1" t="s">
        <v>10</v>
      </c>
      <c r="V2" s="2" t="s">
        <v>11</v>
      </c>
      <c r="W2" s="2" t="s">
        <v>12</v>
      </c>
      <c r="X2" s="3" t="s">
        <v>156</v>
      </c>
      <c r="Y2" s="3" t="s">
        <v>20</v>
      </c>
      <c r="Z2" s="3" t="s">
        <v>160</v>
      </c>
    </row>
    <row r="3" spans="1:26" x14ac:dyDescent="0.35">
      <c r="B3" s="5">
        <v>46262</v>
      </c>
      <c r="C3" s="6" t="s">
        <v>192</v>
      </c>
      <c r="D3" s="7" t="s">
        <v>3</v>
      </c>
      <c r="E3" s="8" t="s">
        <v>191</v>
      </c>
      <c r="F3" s="8" t="s">
        <v>190</v>
      </c>
      <c r="G3" s="24"/>
      <c r="H3" s="13">
        <f t="shared" ref="H3:H66" si="0">((G3))*(1-I3)*(1-J3)-N3</f>
        <v>0</v>
      </c>
      <c r="I3" s="20">
        <v>0</v>
      </c>
      <c r="J3" s="16">
        <f t="shared" ref="J3:J34" si="1">9.25%*10%</f>
        <v>9.2499999999999995E-3</v>
      </c>
      <c r="K3" s="19" t="s">
        <v>18</v>
      </c>
      <c r="L3" s="11" t="s">
        <v>54</v>
      </c>
      <c r="M3" s="31">
        <v>243.357521300813</v>
      </c>
      <c r="N3" s="31"/>
      <c r="O3" s="12">
        <f t="shared" ref="O3:O66" si="2">IF(I3=0,((G3+M3-N3)/(1-J3))/0.88,(G3+M3-N3))</f>
        <v>279.12453983530958</v>
      </c>
      <c r="P3" s="66" t="s">
        <v>172</v>
      </c>
      <c r="R3" s="58">
        <f t="shared" ref="R3:R34" si="3">IFERROR(H3/Y3-1,0)</f>
        <v>0</v>
      </c>
      <c r="S3" s="5"/>
      <c r="T3" s="6"/>
      <c r="U3" s="7"/>
      <c r="V3" s="8"/>
      <c r="W3" s="8"/>
      <c r="X3" s="47"/>
      <c r="Y3" s="13"/>
      <c r="Z3" s="57"/>
    </row>
    <row r="4" spans="1:26" x14ac:dyDescent="0.35">
      <c r="B4" s="5">
        <v>46262</v>
      </c>
      <c r="C4" s="6" t="s">
        <v>122</v>
      </c>
      <c r="D4" s="7" t="s">
        <v>3</v>
      </c>
      <c r="E4" s="8" t="s">
        <v>191</v>
      </c>
      <c r="F4" s="8" t="s">
        <v>190</v>
      </c>
      <c r="G4" s="24"/>
      <c r="H4" s="13">
        <f t="shared" si="0"/>
        <v>0</v>
      </c>
      <c r="I4" s="20">
        <v>0</v>
      </c>
      <c r="J4" s="16">
        <f t="shared" si="1"/>
        <v>9.2499999999999995E-3</v>
      </c>
      <c r="K4" s="19" t="s">
        <v>18</v>
      </c>
      <c r="L4" s="11" t="s">
        <v>54</v>
      </c>
      <c r="M4" s="33">
        <v>240.83857951219514</v>
      </c>
      <c r="N4" s="31"/>
      <c r="O4" s="12">
        <f t="shared" si="2"/>
        <v>276.23538126785854</v>
      </c>
      <c r="P4" s="66" t="s">
        <v>172</v>
      </c>
      <c r="R4" s="58">
        <f t="shared" si="3"/>
        <v>0</v>
      </c>
      <c r="S4" s="5"/>
      <c r="T4" s="6"/>
      <c r="U4" s="7"/>
      <c r="V4" s="8"/>
      <c r="W4" s="8"/>
      <c r="X4" s="47"/>
      <c r="Y4" s="13"/>
      <c r="Z4" s="57"/>
    </row>
    <row r="5" spans="1:26" x14ac:dyDescent="0.35">
      <c r="B5" s="5">
        <v>46262</v>
      </c>
      <c r="C5" s="6" t="s">
        <v>123</v>
      </c>
      <c r="D5" s="7" t="s">
        <v>3</v>
      </c>
      <c r="E5" s="8" t="s">
        <v>191</v>
      </c>
      <c r="F5" s="8" t="s">
        <v>190</v>
      </c>
      <c r="G5" s="24"/>
      <c r="H5" s="13">
        <f t="shared" si="0"/>
        <v>0</v>
      </c>
      <c r="I5" s="20">
        <v>0</v>
      </c>
      <c r="J5" s="16">
        <f t="shared" si="1"/>
        <v>9.2499999999999995E-3</v>
      </c>
      <c r="K5" s="19" t="s">
        <v>18</v>
      </c>
      <c r="L5" s="11" t="s">
        <v>54</v>
      </c>
      <c r="M5" s="31">
        <v>324.29597008130082</v>
      </c>
      <c r="N5" s="31"/>
      <c r="O5" s="12">
        <f t="shared" si="2"/>
        <v>371.95876640894272</v>
      </c>
      <c r="P5" s="66" t="s">
        <v>172</v>
      </c>
      <c r="R5" s="58">
        <f t="shared" si="3"/>
        <v>0</v>
      </c>
      <c r="S5" s="5"/>
      <c r="T5" s="6"/>
      <c r="U5" s="7"/>
      <c r="V5" s="8"/>
      <c r="W5" s="8"/>
      <c r="X5" s="47"/>
      <c r="Y5" s="13"/>
      <c r="Z5" s="57"/>
    </row>
    <row r="6" spans="1:26" x14ac:dyDescent="0.35">
      <c r="B6" s="5">
        <v>46262</v>
      </c>
      <c r="C6" s="28" t="s">
        <v>98</v>
      </c>
      <c r="D6" s="61" t="s">
        <v>4</v>
      </c>
      <c r="E6" s="45" t="s">
        <v>56</v>
      </c>
      <c r="F6" s="28" t="s">
        <v>55</v>
      </c>
      <c r="G6" s="93">
        <v>5500</v>
      </c>
      <c r="H6" s="52">
        <f t="shared" si="0"/>
        <v>5449.125</v>
      </c>
      <c r="I6" s="62">
        <v>0</v>
      </c>
      <c r="J6" s="63">
        <f t="shared" si="1"/>
        <v>9.2499999999999995E-3</v>
      </c>
      <c r="K6" s="55" t="s">
        <v>31</v>
      </c>
      <c r="L6" s="56" t="s">
        <v>32</v>
      </c>
      <c r="M6" s="33">
        <v>489.18180975609749</v>
      </c>
      <c r="N6" s="33"/>
      <c r="O6" s="64">
        <f t="shared" si="2"/>
        <v>6869.4306537243328</v>
      </c>
      <c r="P6" s="80"/>
      <c r="Q6" s="65"/>
      <c r="R6" s="58">
        <f t="shared" si="3"/>
        <v>0</v>
      </c>
      <c r="S6" s="48"/>
      <c r="T6" s="26"/>
      <c r="U6" s="27"/>
      <c r="V6" s="28"/>
      <c r="W6" s="28"/>
      <c r="X6" s="47"/>
      <c r="Y6" s="52"/>
      <c r="Z6" s="57"/>
    </row>
    <row r="7" spans="1:26" x14ac:dyDescent="0.35">
      <c r="B7" s="5">
        <v>46262</v>
      </c>
      <c r="C7" s="6" t="s">
        <v>97</v>
      </c>
      <c r="D7" s="7" t="s">
        <v>4</v>
      </c>
      <c r="E7" s="8" t="s">
        <v>56</v>
      </c>
      <c r="F7" s="8" t="s">
        <v>55</v>
      </c>
      <c r="G7" s="93">
        <v>5500</v>
      </c>
      <c r="H7" s="13">
        <f t="shared" si="0"/>
        <v>5449.125</v>
      </c>
      <c r="I7" s="20">
        <v>0</v>
      </c>
      <c r="J7" s="16">
        <f t="shared" si="1"/>
        <v>9.2499999999999995E-3</v>
      </c>
      <c r="K7" s="10" t="s">
        <v>31</v>
      </c>
      <c r="L7" s="11" t="s">
        <v>32</v>
      </c>
      <c r="M7" s="31">
        <v>493.74063902439019</v>
      </c>
      <c r="N7" s="31"/>
      <c r="O7" s="12">
        <f t="shared" si="2"/>
        <v>6874.6595084352884</v>
      </c>
      <c r="P7" s="80"/>
      <c r="R7" s="58">
        <f t="shared" si="3"/>
        <v>0</v>
      </c>
      <c r="S7" s="5"/>
      <c r="T7" s="6"/>
      <c r="U7" s="7"/>
      <c r="V7" s="8"/>
      <c r="W7" s="8"/>
      <c r="X7" s="47"/>
      <c r="Y7" s="13"/>
      <c r="Z7" s="57"/>
    </row>
    <row r="8" spans="1:26" x14ac:dyDescent="0.35">
      <c r="B8" s="5">
        <v>46262</v>
      </c>
      <c r="C8" s="6" t="s">
        <v>99</v>
      </c>
      <c r="D8" s="7" t="s">
        <v>4</v>
      </c>
      <c r="E8" s="8" t="s">
        <v>56</v>
      </c>
      <c r="F8" s="8" t="s">
        <v>55</v>
      </c>
      <c r="G8" s="93">
        <v>5500</v>
      </c>
      <c r="H8" s="13">
        <f t="shared" si="0"/>
        <v>5449.125</v>
      </c>
      <c r="I8" s="20">
        <v>0</v>
      </c>
      <c r="J8" s="16">
        <f t="shared" si="1"/>
        <v>9.2499999999999995E-3</v>
      </c>
      <c r="K8" s="10" t="s">
        <v>31</v>
      </c>
      <c r="L8" s="11" t="s">
        <v>32</v>
      </c>
      <c r="M8" s="31">
        <v>564.75200292682928</v>
      </c>
      <c r="N8" s="31"/>
      <c r="O8" s="12">
        <f t="shared" si="2"/>
        <v>6956.1076353162534</v>
      </c>
      <c r="P8" s="80"/>
      <c r="R8" s="58">
        <f t="shared" si="3"/>
        <v>0</v>
      </c>
      <c r="S8" s="5"/>
      <c r="T8" s="6"/>
      <c r="U8" s="7"/>
      <c r="V8" s="8"/>
      <c r="W8" s="8"/>
      <c r="X8" s="47"/>
      <c r="Y8" s="13"/>
      <c r="Z8" s="57"/>
    </row>
    <row r="9" spans="1:26" x14ac:dyDescent="0.35">
      <c r="B9" s="5">
        <v>46262</v>
      </c>
      <c r="C9" s="6" t="s">
        <v>100</v>
      </c>
      <c r="D9" s="7" t="s">
        <v>2</v>
      </c>
      <c r="E9" s="15" t="s">
        <v>57</v>
      </c>
      <c r="F9" s="8" t="s">
        <v>58</v>
      </c>
      <c r="G9" s="93">
        <v>5500</v>
      </c>
      <c r="H9" s="13">
        <f t="shared" si="0"/>
        <v>5449.125</v>
      </c>
      <c r="I9" s="20">
        <v>0</v>
      </c>
      <c r="J9" s="16">
        <f t="shared" si="1"/>
        <v>9.2499999999999995E-3</v>
      </c>
      <c r="K9" s="10" t="s">
        <v>31</v>
      </c>
      <c r="L9" s="11" t="s">
        <v>32</v>
      </c>
      <c r="M9" s="31">
        <v>438.92450211382118</v>
      </c>
      <c r="N9" s="31"/>
      <c r="O9" s="12">
        <f t="shared" si="2"/>
        <v>6811.7868718760137</v>
      </c>
      <c r="P9" s="80"/>
      <c r="R9" s="58">
        <f t="shared" si="3"/>
        <v>0</v>
      </c>
      <c r="S9" s="5"/>
      <c r="T9" s="6"/>
      <c r="U9" s="7"/>
      <c r="V9" s="8"/>
      <c r="W9" s="8"/>
      <c r="X9" s="47"/>
      <c r="Y9" s="13"/>
      <c r="Z9" s="57"/>
    </row>
    <row r="10" spans="1:26" x14ac:dyDescent="0.35">
      <c r="B10" s="5">
        <v>46262</v>
      </c>
      <c r="C10" s="26" t="s">
        <v>102</v>
      </c>
      <c r="D10" s="27" t="s">
        <v>2</v>
      </c>
      <c r="E10" s="45" t="s">
        <v>57</v>
      </c>
      <c r="F10" s="28" t="s">
        <v>58</v>
      </c>
      <c r="G10" s="93">
        <v>5500</v>
      </c>
      <c r="H10" s="13">
        <f t="shared" si="0"/>
        <v>5449.125</v>
      </c>
      <c r="I10" s="20">
        <v>0</v>
      </c>
      <c r="J10" s="16">
        <f t="shared" si="1"/>
        <v>9.2499999999999995E-3</v>
      </c>
      <c r="K10" s="10" t="s">
        <v>31</v>
      </c>
      <c r="L10" s="11" t="s">
        <v>32</v>
      </c>
      <c r="M10" s="31">
        <v>484.76667186991864</v>
      </c>
      <c r="N10" s="31"/>
      <c r="O10" s="12">
        <f t="shared" si="2"/>
        <v>6864.3666091688092</v>
      </c>
      <c r="P10" s="80"/>
      <c r="R10" s="58">
        <f t="shared" si="3"/>
        <v>0</v>
      </c>
      <c r="S10" s="5"/>
      <c r="T10" s="6"/>
      <c r="U10" s="7"/>
      <c r="V10" s="8"/>
      <c r="W10" s="8"/>
      <c r="X10" s="47"/>
      <c r="Y10" s="13"/>
      <c r="Z10" s="57"/>
    </row>
    <row r="11" spans="1:26" x14ac:dyDescent="0.35">
      <c r="B11" s="5">
        <v>46262</v>
      </c>
      <c r="C11" s="6" t="s">
        <v>101</v>
      </c>
      <c r="D11" s="7" t="s">
        <v>2</v>
      </c>
      <c r="E11" s="15" t="s">
        <v>57</v>
      </c>
      <c r="F11" s="8" t="s">
        <v>58</v>
      </c>
      <c r="G11" s="93">
        <v>5500</v>
      </c>
      <c r="H11" s="13">
        <f t="shared" si="0"/>
        <v>5449.125</v>
      </c>
      <c r="I11" s="20">
        <v>0</v>
      </c>
      <c r="J11" s="16">
        <f t="shared" si="1"/>
        <v>9.2499999999999995E-3</v>
      </c>
      <c r="K11" s="10" t="s">
        <v>31</v>
      </c>
      <c r="L11" s="11" t="s">
        <v>32</v>
      </c>
      <c r="M11" s="31">
        <v>445.71607804878045</v>
      </c>
      <c r="N11" s="31"/>
      <c r="O11" s="12">
        <f t="shared" si="2"/>
        <v>6819.5766270373451</v>
      </c>
      <c r="P11" s="80"/>
      <c r="R11" s="58">
        <f t="shared" si="3"/>
        <v>0</v>
      </c>
      <c r="S11" s="5"/>
      <c r="T11" s="6"/>
      <c r="U11" s="7"/>
      <c r="V11" s="8"/>
      <c r="W11" s="8"/>
      <c r="X11" s="47"/>
      <c r="Y11" s="13"/>
      <c r="Z11" s="57"/>
    </row>
    <row r="12" spans="1:26" x14ac:dyDescent="0.35">
      <c r="A12" s="46"/>
      <c r="B12" s="5">
        <v>46262</v>
      </c>
      <c r="C12" s="6" t="s">
        <v>105</v>
      </c>
      <c r="D12" s="7" t="s">
        <v>1</v>
      </c>
      <c r="E12" s="15" t="s">
        <v>83</v>
      </c>
      <c r="F12" s="8" t="s">
        <v>85</v>
      </c>
      <c r="G12" s="24"/>
      <c r="H12" s="13">
        <f t="shared" si="0"/>
        <v>0</v>
      </c>
      <c r="I12" s="21">
        <v>0</v>
      </c>
      <c r="J12" s="16">
        <f t="shared" si="1"/>
        <v>9.2499999999999995E-3</v>
      </c>
      <c r="K12" s="10" t="s">
        <v>31</v>
      </c>
      <c r="L12" s="11" t="s">
        <v>32</v>
      </c>
      <c r="M12" s="31">
        <v>608.76454471544707</v>
      </c>
      <c r="N12" s="31"/>
      <c r="O12" s="12">
        <f t="shared" si="2"/>
        <v>698.2365800879121</v>
      </c>
      <c r="P12" s="66" t="s">
        <v>169</v>
      </c>
      <c r="R12" s="58">
        <f t="shared" si="3"/>
        <v>0</v>
      </c>
      <c r="S12" s="5"/>
      <c r="T12" s="6"/>
      <c r="U12" s="7"/>
      <c r="V12" s="8"/>
      <c r="W12" s="8"/>
      <c r="X12" s="47"/>
      <c r="Y12" s="13"/>
      <c r="Z12" s="57"/>
    </row>
    <row r="13" spans="1:26" x14ac:dyDescent="0.35">
      <c r="B13" s="5">
        <v>46262</v>
      </c>
      <c r="C13" s="6" t="s">
        <v>104</v>
      </c>
      <c r="D13" s="7" t="s">
        <v>1</v>
      </c>
      <c r="E13" s="15" t="s">
        <v>83</v>
      </c>
      <c r="F13" s="8" t="s">
        <v>85</v>
      </c>
      <c r="G13" s="24"/>
      <c r="H13" s="13">
        <f t="shared" si="0"/>
        <v>0</v>
      </c>
      <c r="I13" s="21">
        <v>0</v>
      </c>
      <c r="J13" s="16">
        <f t="shared" si="1"/>
        <v>9.2499999999999995E-3</v>
      </c>
      <c r="K13" s="10" t="s">
        <v>31</v>
      </c>
      <c r="L13" s="11" t="s">
        <v>32</v>
      </c>
      <c r="M13" s="31">
        <v>786.43704585365845</v>
      </c>
      <c r="N13" s="31"/>
      <c r="O13" s="12">
        <f t="shared" si="2"/>
        <v>902.02216623501295</v>
      </c>
      <c r="P13" s="66" t="s">
        <v>169</v>
      </c>
      <c r="R13" s="58">
        <f t="shared" si="3"/>
        <v>0</v>
      </c>
      <c r="S13" s="5"/>
      <c r="T13" s="6"/>
      <c r="U13" s="7"/>
      <c r="V13" s="8"/>
      <c r="W13" s="8"/>
      <c r="X13" s="47"/>
      <c r="Y13" s="13"/>
      <c r="Z13" s="57"/>
    </row>
    <row r="14" spans="1:26" x14ac:dyDescent="0.35">
      <c r="B14" s="5">
        <v>46262</v>
      </c>
      <c r="C14" s="6" t="s">
        <v>109</v>
      </c>
      <c r="D14" s="7" t="s">
        <v>1</v>
      </c>
      <c r="E14" s="15" t="s">
        <v>83</v>
      </c>
      <c r="F14" s="8" t="s">
        <v>85</v>
      </c>
      <c r="G14" s="24"/>
      <c r="H14" s="13">
        <f t="shared" si="0"/>
        <v>0</v>
      </c>
      <c r="I14" s="21">
        <v>0</v>
      </c>
      <c r="J14" s="16">
        <f t="shared" si="1"/>
        <v>9.2499999999999995E-3</v>
      </c>
      <c r="K14" s="10" t="s">
        <v>31</v>
      </c>
      <c r="L14" s="11" t="s">
        <v>32</v>
      </c>
      <c r="M14" s="31">
        <v>836.82715447154465</v>
      </c>
      <c r="N14" s="31"/>
      <c r="O14" s="12">
        <f t="shared" si="2"/>
        <v>959.81826723504298</v>
      </c>
      <c r="P14" s="66" t="s">
        <v>169</v>
      </c>
      <c r="R14" s="58">
        <f t="shared" si="3"/>
        <v>0</v>
      </c>
      <c r="S14" s="5"/>
      <c r="T14" s="6"/>
      <c r="U14" s="7"/>
      <c r="V14" s="8"/>
      <c r="W14" s="8"/>
      <c r="X14" s="47"/>
      <c r="Y14" s="13"/>
      <c r="Z14" s="57"/>
    </row>
    <row r="15" spans="1:26" x14ac:dyDescent="0.35">
      <c r="B15" s="5">
        <v>46262</v>
      </c>
      <c r="C15" s="6" t="s">
        <v>107</v>
      </c>
      <c r="D15" s="7" t="s">
        <v>1</v>
      </c>
      <c r="E15" s="15" t="s">
        <v>83</v>
      </c>
      <c r="F15" s="8" t="s">
        <v>85</v>
      </c>
      <c r="G15" s="24"/>
      <c r="H15" s="13">
        <f t="shared" si="0"/>
        <v>0</v>
      </c>
      <c r="I15" s="21">
        <v>0</v>
      </c>
      <c r="J15" s="16">
        <f t="shared" si="1"/>
        <v>9.2499999999999995E-3</v>
      </c>
      <c r="K15" s="10" t="s">
        <v>31</v>
      </c>
      <c r="L15" s="11" t="s">
        <v>32</v>
      </c>
      <c r="M15" s="31">
        <v>876.56072845528456</v>
      </c>
      <c r="N15" s="31"/>
      <c r="O15" s="12">
        <f t="shared" si="2"/>
        <v>1005.3916092667224</v>
      </c>
      <c r="P15" s="66" t="s">
        <v>169</v>
      </c>
      <c r="R15" s="58">
        <f t="shared" si="3"/>
        <v>0</v>
      </c>
      <c r="S15" s="5"/>
      <c r="T15" s="6"/>
      <c r="U15" s="7"/>
      <c r="V15" s="8"/>
      <c r="W15" s="8"/>
      <c r="X15" s="47"/>
      <c r="Y15" s="13"/>
      <c r="Z15" s="57"/>
    </row>
    <row r="16" spans="1:26" x14ac:dyDescent="0.35">
      <c r="B16" s="5">
        <v>46262</v>
      </c>
      <c r="C16" s="6" t="s">
        <v>106</v>
      </c>
      <c r="D16" s="7" t="s">
        <v>1</v>
      </c>
      <c r="E16" s="15" t="s">
        <v>83</v>
      </c>
      <c r="F16" s="8" t="s">
        <v>85</v>
      </c>
      <c r="G16" s="24"/>
      <c r="H16" s="13">
        <f t="shared" si="0"/>
        <v>0</v>
      </c>
      <c r="I16" s="21">
        <v>0</v>
      </c>
      <c r="J16" s="16">
        <f t="shared" si="1"/>
        <v>9.2499999999999995E-3</v>
      </c>
      <c r="K16" s="10" t="s">
        <v>31</v>
      </c>
      <c r="L16" s="11" t="s">
        <v>32</v>
      </c>
      <c r="M16" s="31">
        <v>939.24825951219509</v>
      </c>
      <c r="N16" s="31"/>
      <c r="O16" s="12">
        <f t="shared" si="2"/>
        <v>1077.2925234695881</v>
      </c>
      <c r="P16" s="66" t="s">
        <v>169</v>
      </c>
      <c r="R16" s="58">
        <f t="shared" si="3"/>
        <v>0</v>
      </c>
      <c r="S16" s="5"/>
      <c r="T16" s="6"/>
      <c r="U16" s="7"/>
      <c r="V16" s="8"/>
      <c r="W16" s="8"/>
      <c r="X16" s="47"/>
      <c r="Y16" s="13"/>
      <c r="Z16" s="57"/>
    </row>
    <row r="17" spans="2:26" x14ac:dyDescent="0.35">
      <c r="B17" s="5">
        <v>46262</v>
      </c>
      <c r="C17" s="6" t="s">
        <v>111</v>
      </c>
      <c r="D17" s="7" t="s">
        <v>1</v>
      </c>
      <c r="E17" s="15" t="s">
        <v>83</v>
      </c>
      <c r="F17" s="8" t="s">
        <v>85</v>
      </c>
      <c r="G17" s="25"/>
      <c r="H17" s="13">
        <f t="shared" si="0"/>
        <v>0</v>
      </c>
      <c r="I17" s="21">
        <v>0</v>
      </c>
      <c r="J17" s="16">
        <f t="shared" si="1"/>
        <v>9.2499999999999995E-3</v>
      </c>
      <c r="K17" s="10" t="s">
        <v>31</v>
      </c>
      <c r="L17" s="11" t="s">
        <v>32</v>
      </c>
      <c r="M17" s="31">
        <v>965.39140357723568</v>
      </c>
      <c r="N17" s="31"/>
      <c r="O17" s="12">
        <f t="shared" si="2"/>
        <v>1107.2780074521547</v>
      </c>
      <c r="P17" s="66" t="s">
        <v>169</v>
      </c>
      <c r="R17" s="58">
        <f t="shared" si="3"/>
        <v>0</v>
      </c>
      <c r="S17" s="5"/>
      <c r="T17" s="6"/>
      <c r="U17" s="7"/>
      <c r="V17" s="8"/>
      <c r="W17" s="8"/>
      <c r="X17" s="47"/>
      <c r="Y17" s="13"/>
      <c r="Z17" s="57"/>
    </row>
    <row r="18" spans="2:26" x14ac:dyDescent="0.35">
      <c r="B18" s="5">
        <v>46262</v>
      </c>
      <c r="C18" s="6" t="s">
        <v>108</v>
      </c>
      <c r="D18" s="7" t="s">
        <v>1</v>
      </c>
      <c r="E18" s="15" t="s">
        <v>83</v>
      </c>
      <c r="F18" s="8" t="s">
        <v>85</v>
      </c>
      <c r="G18" s="24"/>
      <c r="H18" s="13">
        <f t="shared" si="0"/>
        <v>0</v>
      </c>
      <c r="I18" s="21">
        <v>0</v>
      </c>
      <c r="J18" s="16">
        <f t="shared" si="1"/>
        <v>9.2499999999999995E-3</v>
      </c>
      <c r="K18" s="10" t="s">
        <v>31</v>
      </c>
      <c r="L18" s="11" t="s">
        <v>32</v>
      </c>
      <c r="M18" s="31">
        <v>994.64974569105698</v>
      </c>
      <c r="N18" s="31"/>
      <c r="O18" s="12">
        <f t="shared" si="2"/>
        <v>1140.8365399158774</v>
      </c>
      <c r="P18" s="66" t="s">
        <v>169</v>
      </c>
      <c r="R18" s="58">
        <f t="shared" si="3"/>
        <v>0</v>
      </c>
      <c r="S18" s="5"/>
      <c r="T18" s="6"/>
      <c r="U18" s="7"/>
      <c r="V18" s="8"/>
      <c r="W18" s="8"/>
      <c r="X18" s="47"/>
      <c r="Y18" s="13"/>
      <c r="Z18" s="57"/>
    </row>
    <row r="19" spans="2:26" x14ac:dyDescent="0.35">
      <c r="B19" s="5">
        <v>46262</v>
      </c>
      <c r="C19" s="6" t="s">
        <v>110</v>
      </c>
      <c r="D19" s="7" t="s">
        <v>1</v>
      </c>
      <c r="E19" s="15" t="s">
        <v>83</v>
      </c>
      <c r="F19" s="8" t="s">
        <v>85</v>
      </c>
      <c r="G19" s="24"/>
      <c r="H19" s="13">
        <f t="shared" si="0"/>
        <v>0</v>
      </c>
      <c r="I19" s="21">
        <v>0</v>
      </c>
      <c r="J19" s="16">
        <f t="shared" si="1"/>
        <v>9.2499999999999995E-3</v>
      </c>
      <c r="K19" s="10" t="s">
        <v>31</v>
      </c>
      <c r="L19" s="11" t="s">
        <v>32</v>
      </c>
      <c r="M19" s="31">
        <v>866.50006796747971</v>
      </c>
      <c r="N19" s="31"/>
      <c r="O19" s="12">
        <f t="shared" si="2"/>
        <v>993.85230193778784</v>
      </c>
      <c r="P19" s="66" t="s">
        <v>169</v>
      </c>
      <c r="R19" s="58">
        <f t="shared" si="3"/>
        <v>0</v>
      </c>
      <c r="S19" s="5"/>
      <c r="T19" s="6"/>
      <c r="U19" s="7"/>
      <c r="V19" s="8"/>
      <c r="W19" s="8"/>
      <c r="X19" s="47"/>
      <c r="Y19" s="13"/>
      <c r="Z19" s="57"/>
    </row>
    <row r="20" spans="2:26" x14ac:dyDescent="0.35">
      <c r="B20" s="5">
        <v>46262</v>
      </c>
      <c r="C20" s="6" t="s">
        <v>103</v>
      </c>
      <c r="D20" s="7" t="s">
        <v>1</v>
      </c>
      <c r="E20" s="15" t="s">
        <v>83</v>
      </c>
      <c r="F20" s="8" t="s">
        <v>85</v>
      </c>
      <c r="G20" s="24"/>
      <c r="H20" s="13">
        <f t="shared" si="0"/>
        <v>0</v>
      </c>
      <c r="I20" s="21">
        <v>0</v>
      </c>
      <c r="J20" s="16">
        <f t="shared" si="1"/>
        <v>9.2499999999999995E-3</v>
      </c>
      <c r="K20" s="10" t="s">
        <v>31</v>
      </c>
      <c r="L20" s="11" t="s">
        <v>32</v>
      </c>
      <c r="M20" s="31">
        <v>583.38495121951212</v>
      </c>
      <c r="N20" s="31"/>
      <c r="O20" s="12">
        <f t="shared" si="2"/>
        <v>669.12686809752961</v>
      </c>
      <c r="P20" s="66" t="s">
        <v>169</v>
      </c>
      <c r="R20" s="58">
        <f t="shared" si="3"/>
        <v>0</v>
      </c>
      <c r="S20" s="5"/>
      <c r="T20" s="6"/>
      <c r="U20" s="7"/>
      <c r="V20" s="8"/>
      <c r="W20" s="8"/>
      <c r="X20" s="47"/>
      <c r="Y20" s="13"/>
      <c r="Z20" s="57"/>
    </row>
    <row r="21" spans="2:26" x14ac:dyDescent="0.35">
      <c r="B21" s="5">
        <v>46262</v>
      </c>
      <c r="C21" s="6" t="s">
        <v>186</v>
      </c>
      <c r="D21" s="7" t="s">
        <v>3</v>
      </c>
      <c r="E21" s="15" t="s">
        <v>60</v>
      </c>
      <c r="F21" s="8" t="s">
        <v>61</v>
      </c>
      <c r="G21" s="47">
        <v>5550</v>
      </c>
      <c r="H21" s="13">
        <f t="shared" si="0"/>
        <v>5498.6625000000004</v>
      </c>
      <c r="I21" s="20">
        <v>0</v>
      </c>
      <c r="J21" s="16">
        <f t="shared" si="1"/>
        <v>9.2499999999999995E-3</v>
      </c>
      <c r="K21" s="10" t="s">
        <v>31</v>
      </c>
      <c r="L21" s="11" t="s">
        <v>32</v>
      </c>
      <c r="M21" s="31">
        <v>243.357521300813</v>
      </c>
      <c r="N21" s="31"/>
      <c r="O21" s="12">
        <f t="shared" si="2"/>
        <v>6644.8254551198734</v>
      </c>
      <c r="P21" s="80"/>
      <c r="R21" s="58">
        <f t="shared" si="3"/>
        <v>0</v>
      </c>
      <c r="S21" s="5"/>
      <c r="T21" s="6"/>
      <c r="U21" s="7"/>
      <c r="V21" s="8"/>
      <c r="W21" s="8"/>
      <c r="X21" s="47"/>
      <c r="Y21" s="13"/>
      <c r="Z21" s="57"/>
    </row>
    <row r="22" spans="2:26" x14ac:dyDescent="0.35">
      <c r="B22" s="5">
        <v>46262</v>
      </c>
      <c r="C22" s="6" t="s">
        <v>136</v>
      </c>
      <c r="D22" s="7" t="s">
        <v>3</v>
      </c>
      <c r="E22" s="15" t="s">
        <v>60</v>
      </c>
      <c r="F22" s="8" t="s">
        <v>61</v>
      </c>
      <c r="G22" s="47">
        <v>5550</v>
      </c>
      <c r="H22" s="13">
        <f t="shared" si="0"/>
        <v>5498.6625000000004</v>
      </c>
      <c r="I22" s="20">
        <v>0</v>
      </c>
      <c r="J22" s="16">
        <f t="shared" si="1"/>
        <v>9.2499999999999995E-3</v>
      </c>
      <c r="K22" s="10" t="s">
        <v>31</v>
      </c>
      <c r="L22" s="11" t="s">
        <v>32</v>
      </c>
      <c r="M22" s="33">
        <v>240.83857951219514</v>
      </c>
      <c r="N22" s="31"/>
      <c r="O22" s="12">
        <f t="shared" si="2"/>
        <v>6641.9362965524224</v>
      </c>
      <c r="P22" s="80"/>
      <c r="R22" s="58">
        <f t="shared" si="3"/>
        <v>0</v>
      </c>
      <c r="S22" s="5"/>
      <c r="T22" s="6"/>
      <c r="U22" s="7"/>
      <c r="V22" s="8"/>
      <c r="W22" s="8"/>
      <c r="X22" s="47"/>
      <c r="Y22" s="13"/>
      <c r="Z22" s="57"/>
    </row>
    <row r="23" spans="2:26" x14ac:dyDescent="0.35">
      <c r="B23" s="5">
        <v>46262</v>
      </c>
      <c r="C23" s="6" t="s">
        <v>187</v>
      </c>
      <c r="D23" s="7" t="s">
        <v>3</v>
      </c>
      <c r="E23" s="15" t="s">
        <v>60</v>
      </c>
      <c r="F23" s="8" t="s">
        <v>61</v>
      </c>
      <c r="G23" s="47">
        <v>5550</v>
      </c>
      <c r="H23" s="13">
        <f t="shared" si="0"/>
        <v>5498.6625000000004</v>
      </c>
      <c r="I23" s="20">
        <v>0</v>
      </c>
      <c r="J23" s="16">
        <f t="shared" si="1"/>
        <v>9.2499999999999995E-3</v>
      </c>
      <c r="K23" s="10" t="s">
        <v>31</v>
      </c>
      <c r="L23" s="11" t="s">
        <v>32</v>
      </c>
      <c r="M23" s="31">
        <v>324.29597008130082</v>
      </c>
      <c r="N23" s="31"/>
      <c r="O23" s="12">
        <f t="shared" si="2"/>
        <v>6737.6596816935062</v>
      </c>
      <c r="P23" s="80"/>
      <c r="R23" s="58">
        <f t="shared" si="3"/>
        <v>0</v>
      </c>
      <c r="S23" s="5"/>
      <c r="T23" s="6"/>
      <c r="U23" s="7"/>
      <c r="V23" s="8"/>
      <c r="W23" s="8"/>
      <c r="X23" s="47"/>
      <c r="Y23" s="13"/>
      <c r="Z23" s="57"/>
    </row>
    <row r="24" spans="2:26" x14ac:dyDescent="0.35">
      <c r="B24" s="5">
        <v>46262</v>
      </c>
      <c r="C24" s="6" t="s">
        <v>114</v>
      </c>
      <c r="D24" s="7" t="s">
        <v>5</v>
      </c>
      <c r="E24" s="15" t="s">
        <v>72</v>
      </c>
      <c r="F24" s="8" t="s">
        <v>59</v>
      </c>
      <c r="G24" s="47">
        <v>5750</v>
      </c>
      <c r="H24" s="13">
        <f t="shared" si="0"/>
        <v>5696.8125</v>
      </c>
      <c r="I24" s="20">
        <v>0</v>
      </c>
      <c r="J24" s="16">
        <f t="shared" si="1"/>
        <v>9.2499999999999995E-3</v>
      </c>
      <c r="K24" s="10" t="s">
        <v>31</v>
      </c>
      <c r="L24" s="11" t="s">
        <v>54</v>
      </c>
      <c r="M24" s="31">
        <v>662.70499512195113</v>
      </c>
      <c r="N24" s="31"/>
      <c r="O24" s="12">
        <f t="shared" si="2"/>
        <v>7355.2003706121986</v>
      </c>
      <c r="P24" s="74"/>
      <c r="R24" s="58">
        <f t="shared" si="3"/>
        <v>0</v>
      </c>
      <c r="S24" s="5"/>
      <c r="T24" s="6"/>
      <c r="U24" s="7"/>
      <c r="V24" s="8"/>
      <c r="W24" s="8"/>
      <c r="X24" s="47"/>
      <c r="Y24" s="13"/>
      <c r="Z24" s="57"/>
    </row>
    <row r="25" spans="2:26" x14ac:dyDescent="0.35">
      <c r="B25" s="5">
        <v>46262</v>
      </c>
      <c r="C25" s="6" t="s">
        <v>105</v>
      </c>
      <c r="D25" s="7" t="s">
        <v>1</v>
      </c>
      <c r="E25" s="8" t="s">
        <v>79</v>
      </c>
      <c r="F25" s="8" t="s">
        <v>78</v>
      </c>
      <c r="G25" s="93">
        <v>5650</v>
      </c>
      <c r="H25" s="13">
        <f t="shared" si="0"/>
        <v>5344.3175000000001</v>
      </c>
      <c r="I25" s="21">
        <v>0</v>
      </c>
      <c r="J25" s="16">
        <f t="shared" si="1"/>
        <v>9.2499999999999995E-3</v>
      </c>
      <c r="K25" s="10" t="s">
        <v>18</v>
      </c>
      <c r="L25" s="22" t="s">
        <v>36</v>
      </c>
      <c r="M25" s="31">
        <v>608.76454471544707</v>
      </c>
      <c r="N25" s="31">
        <v>253.42</v>
      </c>
      <c r="O25" s="12">
        <f t="shared" si="2"/>
        <v>6887.9688765575283</v>
      </c>
      <c r="P25" s="66"/>
      <c r="R25" s="58">
        <f t="shared" si="3"/>
        <v>0</v>
      </c>
      <c r="S25" s="5"/>
      <c r="T25" s="6"/>
      <c r="U25" s="7"/>
      <c r="V25" s="8"/>
      <c r="W25" s="8"/>
      <c r="X25" s="47"/>
      <c r="Y25" s="13"/>
      <c r="Z25" s="57"/>
    </row>
    <row r="26" spans="2:26" x14ac:dyDescent="0.35">
      <c r="B26" s="5">
        <v>46262</v>
      </c>
      <c r="C26" s="6" t="s">
        <v>104</v>
      </c>
      <c r="D26" s="7" t="s">
        <v>1</v>
      </c>
      <c r="E26" s="8" t="s">
        <v>79</v>
      </c>
      <c r="F26" s="8" t="s">
        <v>78</v>
      </c>
      <c r="G26" s="93">
        <v>5650</v>
      </c>
      <c r="H26" s="13">
        <f t="shared" si="0"/>
        <v>5314.3775000000005</v>
      </c>
      <c r="I26" s="21">
        <v>0</v>
      </c>
      <c r="J26" s="16">
        <f t="shared" si="1"/>
        <v>9.2499999999999995E-3</v>
      </c>
      <c r="K26" s="10" t="s">
        <v>18</v>
      </c>
      <c r="L26" s="19" t="s">
        <v>36</v>
      </c>
      <c r="M26" s="34">
        <v>786.43704585365845</v>
      </c>
      <c r="N26" s="34">
        <v>283.36</v>
      </c>
      <c r="O26" s="12">
        <f t="shared" si="2"/>
        <v>7057.4140869562298</v>
      </c>
      <c r="P26" s="66"/>
      <c r="R26" s="58">
        <f t="shared" si="3"/>
        <v>0</v>
      </c>
      <c r="S26" s="5"/>
      <c r="T26" s="6"/>
      <c r="U26" s="7"/>
      <c r="V26" s="8"/>
      <c r="W26" s="8"/>
      <c r="X26" s="47"/>
      <c r="Y26" s="13"/>
      <c r="Z26" s="57"/>
    </row>
    <row r="27" spans="2:26" x14ac:dyDescent="0.35">
      <c r="B27" s="5">
        <v>46262</v>
      </c>
      <c r="C27" s="6" t="s">
        <v>109</v>
      </c>
      <c r="D27" s="7" t="s">
        <v>1</v>
      </c>
      <c r="E27" s="8" t="s">
        <v>79</v>
      </c>
      <c r="F27" s="8" t="s">
        <v>78</v>
      </c>
      <c r="G27" s="93">
        <v>5650</v>
      </c>
      <c r="H27" s="13">
        <f t="shared" si="0"/>
        <v>5256.3975</v>
      </c>
      <c r="I27" s="21">
        <v>0</v>
      </c>
      <c r="J27" s="16">
        <f t="shared" si="1"/>
        <v>9.2499999999999995E-3</v>
      </c>
      <c r="K27" s="10" t="s">
        <v>18</v>
      </c>
      <c r="L27" s="19" t="s">
        <v>36</v>
      </c>
      <c r="M27" s="34">
        <v>836.82715447154465</v>
      </c>
      <c r="N27" s="34">
        <v>341.34</v>
      </c>
      <c r="O27" s="12">
        <f t="shared" si="2"/>
        <v>7048.7086854214485</v>
      </c>
      <c r="P27" s="66"/>
      <c r="R27" s="58">
        <f t="shared" si="3"/>
        <v>0</v>
      </c>
      <c r="S27" s="5"/>
      <c r="T27" s="6"/>
      <c r="U27" s="7"/>
      <c r="V27" s="8"/>
      <c r="W27" s="8"/>
      <c r="X27" s="47"/>
      <c r="Y27" s="13"/>
      <c r="Z27" s="57"/>
    </row>
    <row r="28" spans="2:26" x14ac:dyDescent="0.35">
      <c r="B28" s="5">
        <v>46262</v>
      </c>
      <c r="C28" s="6" t="s">
        <v>107</v>
      </c>
      <c r="D28" s="7" t="s">
        <v>1</v>
      </c>
      <c r="E28" s="8" t="s">
        <v>79</v>
      </c>
      <c r="F28" s="8" t="s">
        <v>78</v>
      </c>
      <c r="G28" s="93">
        <v>5650</v>
      </c>
      <c r="H28" s="13">
        <f t="shared" si="0"/>
        <v>5221.5775000000003</v>
      </c>
      <c r="I28" s="21">
        <v>0</v>
      </c>
      <c r="J28" s="16">
        <f t="shared" si="1"/>
        <v>9.2499999999999995E-3</v>
      </c>
      <c r="K28" s="10" t="s">
        <v>18</v>
      </c>
      <c r="L28" s="19" t="s">
        <v>36</v>
      </c>
      <c r="M28" s="34">
        <v>876.56072845528456</v>
      </c>
      <c r="N28" s="34">
        <v>376.16</v>
      </c>
      <c r="O28" s="12">
        <f t="shared" si="2"/>
        <v>7054.3444227918289</v>
      </c>
      <c r="P28" s="66"/>
      <c r="R28" s="58">
        <f t="shared" si="3"/>
        <v>0</v>
      </c>
      <c r="S28" s="5"/>
      <c r="T28" s="6"/>
      <c r="U28" s="7"/>
      <c r="V28" s="8"/>
      <c r="W28" s="8"/>
      <c r="X28" s="47"/>
      <c r="Y28" s="13"/>
      <c r="Z28" s="57"/>
    </row>
    <row r="29" spans="2:26" x14ac:dyDescent="0.35">
      <c r="B29" s="5">
        <v>46262</v>
      </c>
      <c r="C29" s="6" t="s">
        <v>110</v>
      </c>
      <c r="D29" s="7" t="s">
        <v>1</v>
      </c>
      <c r="E29" s="8" t="s">
        <v>79</v>
      </c>
      <c r="F29" s="8" t="s">
        <v>78</v>
      </c>
      <c r="G29" s="93">
        <v>5650</v>
      </c>
      <c r="H29" s="13">
        <f t="shared" si="0"/>
        <v>5169.4775</v>
      </c>
      <c r="I29" s="21">
        <v>0</v>
      </c>
      <c r="J29" s="16">
        <f t="shared" si="1"/>
        <v>9.2499999999999995E-3</v>
      </c>
      <c r="K29" s="10" t="s">
        <v>18</v>
      </c>
      <c r="L29" s="19" t="s">
        <v>36</v>
      </c>
      <c r="M29" s="34">
        <v>866.50006796747971</v>
      </c>
      <c r="N29" s="34">
        <v>428.26</v>
      </c>
      <c r="O29" s="12">
        <f t="shared" si="2"/>
        <v>6983.0478149788714</v>
      </c>
      <c r="P29" s="66"/>
      <c r="R29" s="58">
        <f t="shared" si="3"/>
        <v>0</v>
      </c>
      <c r="S29" s="5"/>
      <c r="T29" s="6"/>
      <c r="U29" s="7"/>
      <c r="V29" s="8"/>
      <c r="W29" s="8"/>
      <c r="X29" s="47"/>
      <c r="Y29" s="13"/>
      <c r="Z29" s="57"/>
    </row>
    <row r="30" spans="2:26" x14ac:dyDescent="0.35">
      <c r="B30" s="5">
        <v>46262</v>
      </c>
      <c r="C30" s="6" t="s">
        <v>106</v>
      </c>
      <c r="D30" s="7" t="s">
        <v>1</v>
      </c>
      <c r="E30" s="8" t="s">
        <v>79</v>
      </c>
      <c r="F30" s="8" t="s">
        <v>78</v>
      </c>
      <c r="G30" s="93">
        <v>5650</v>
      </c>
      <c r="H30" s="13">
        <f t="shared" si="0"/>
        <v>5138.1374999999998</v>
      </c>
      <c r="I30" s="21">
        <v>0</v>
      </c>
      <c r="J30" s="16">
        <f t="shared" si="1"/>
        <v>9.2499999999999995E-3</v>
      </c>
      <c r="K30" s="10" t="s">
        <v>18</v>
      </c>
      <c r="L30" s="19" t="s">
        <v>36</v>
      </c>
      <c r="M30" s="34">
        <v>939.24825951219509</v>
      </c>
      <c r="N30" s="34">
        <v>459.6</v>
      </c>
      <c r="O30" s="12">
        <f t="shared" si="2"/>
        <v>7030.5418983692271</v>
      </c>
      <c r="P30" s="66"/>
      <c r="R30" s="58">
        <f t="shared" si="3"/>
        <v>0</v>
      </c>
      <c r="S30" s="5"/>
      <c r="T30" s="6"/>
      <c r="U30" s="7"/>
      <c r="V30" s="8"/>
      <c r="W30" s="8"/>
      <c r="X30" s="47"/>
      <c r="Y30" s="13"/>
      <c r="Z30" s="57"/>
    </row>
    <row r="31" spans="2:26" x14ac:dyDescent="0.35">
      <c r="B31" s="5">
        <v>46262</v>
      </c>
      <c r="C31" s="6" t="s">
        <v>111</v>
      </c>
      <c r="D31" s="7" t="s">
        <v>1</v>
      </c>
      <c r="E31" s="8" t="s">
        <v>79</v>
      </c>
      <c r="F31" s="8" t="s">
        <v>78</v>
      </c>
      <c r="G31" s="93">
        <v>5650</v>
      </c>
      <c r="H31" s="13">
        <f t="shared" si="0"/>
        <v>5122.9375</v>
      </c>
      <c r="I31" s="21">
        <v>0</v>
      </c>
      <c r="J31" s="16">
        <f t="shared" si="1"/>
        <v>9.2499999999999995E-3</v>
      </c>
      <c r="K31" s="10" t="s">
        <v>18</v>
      </c>
      <c r="L31" s="19" t="s">
        <v>36</v>
      </c>
      <c r="M31" s="34">
        <v>965.39140357723568</v>
      </c>
      <c r="N31" s="34">
        <v>474.8</v>
      </c>
      <c r="O31" s="12">
        <f t="shared" si="2"/>
        <v>7043.0933906558803</v>
      </c>
      <c r="P31" s="66"/>
      <c r="R31" s="58">
        <f t="shared" si="3"/>
        <v>0</v>
      </c>
      <c r="S31" s="5"/>
      <c r="T31" s="6"/>
      <c r="U31" s="7"/>
      <c r="V31" s="8"/>
      <c r="W31" s="8"/>
      <c r="X31" s="47"/>
      <c r="Y31" s="13"/>
      <c r="Z31" s="57"/>
    </row>
    <row r="32" spans="2:26" x14ac:dyDescent="0.35">
      <c r="B32" s="5">
        <v>46262</v>
      </c>
      <c r="C32" s="6" t="s">
        <v>108</v>
      </c>
      <c r="D32" s="7" t="s">
        <v>1</v>
      </c>
      <c r="E32" s="8" t="s">
        <v>79</v>
      </c>
      <c r="F32" s="8" t="s">
        <v>78</v>
      </c>
      <c r="G32" s="93">
        <v>5650</v>
      </c>
      <c r="H32" s="13">
        <f t="shared" si="0"/>
        <v>5083.5574999999999</v>
      </c>
      <c r="I32" s="21">
        <v>0</v>
      </c>
      <c r="J32" s="16">
        <f t="shared" si="1"/>
        <v>9.2499999999999995E-3</v>
      </c>
      <c r="K32" s="10" t="s">
        <v>18</v>
      </c>
      <c r="L32" s="19" t="s">
        <v>36</v>
      </c>
      <c r="M32" s="34">
        <v>994.64974569105698</v>
      </c>
      <c r="N32" s="34">
        <v>514.17999999999995</v>
      </c>
      <c r="O32" s="12">
        <f t="shared" si="2"/>
        <v>7031.484120949528</v>
      </c>
      <c r="P32" s="66"/>
      <c r="R32" s="58">
        <f t="shared" si="3"/>
        <v>0</v>
      </c>
      <c r="S32" s="5"/>
      <c r="T32" s="6"/>
      <c r="U32" s="7"/>
      <c r="V32" s="8"/>
      <c r="W32" s="8"/>
      <c r="X32" s="47"/>
      <c r="Y32" s="13"/>
      <c r="Z32" s="57"/>
    </row>
    <row r="33" spans="2:26" x14ac:dyDescent="0.35">
      <c r="B33" s="5">
        <v>46262</v>
      </c>
      <c r="C33" s="6" t="s">
        <v>103</v>
      </c>
      <c r="D33" s="7" t="s">
        <v>1</v>
      </c>
      <c r="E33" s="8" t="s">
        <v>79</v>
      </c>
      <c r="F33" s="8" t="s">
        <v>78</v>
      </c>
      <c r="G33" s="93">
        <v>5650</v>
      </c>
      <c r="H33" s="13">
        <f t="shared" si="0"/>
        <v>5433.6275000000005</v>
      </c>
      <c r="I33" s="21">
        <v>0</v>
      </c>
      <c r="J33" s="16">
        <f t="shared" si="1"/>
        <v>9.2499999999999995E-3</v>
      </c>
      <c r="K33" s="10" t="s">
        <v>18</v>
      </c>
      <c r="L33" s="19" t="s">
        <v>36</v>
      </c>
      <c r="M33" s="34">
        <v>583.38495121951212</v>
      </c>
      <c r="N33" s="34">
        <v>164.11</v>
      </c>
      <c r="O33" s="12">
        <f t="shared" si="2"/>
        <v>6961.2953355120226</v>
      </c>
      <c r="P33" s="66"/>
      <c r="R33" s="58">
        <f t="shared" si="3"/>
        <v>0</v>
      </c>
      <c r="S33" s="5"/>
      <c r="T33" s="6"/>
      <c r="U33" s="7"/>
      <c r="V33" s="8"/>
      <c r="W33" s="8"/>
      <c r="X33" s="47"/>
      <c r="Y33" s="13"/>
      <c r="Z33" s="57"/>
    </row>
    <row r="34" spans="2:26" x14ac:dyDescent="0.35">
      <c r="B34" s="5">
        <v>46262</v>
      </c>
      <c r="C34" s="6" t="s">
        <v>104</v>
      </c>
      <c r="D34" s="7" t="s">
        <v>1</v>
      </c>
      <c r="E34" s="8" t="s">
        <v>80</v>
      </c>
      <c r="F34" s="8" t="s">
        <v>77</v>
      </c>
      <c r="G34" s="93">
        <v>5520</v>
      </c>
      <c r="H34" s="13">
        <f t="shared" si="0"/>
        <v>5358.39</v>
      </c>
      <c r="I34" s="21">
        <v>0</v>
      </c>
      <c r="J34" s="16">
        <f t="shared" si="1"/>
        <v>9.2499999999999995E-3</v>
      </c>
      <c r="K34" s="10" t="s">
        <v>18</v>
      </c>
      <c r="L34" s="19" t="s">
        <v>36</v>
      </c>
      <c r="M34" s="34">
        <v>786.43704585365845</v>
      </c>
      <c r="N34" s="34">
        <v>110.55</v>
      </c>
      <c r="O34" s="12">
        <f t="shared" si="2"/>
        <v>7106.5160069892627</v>
      </c>
      <c r="P34" s="66"/>
      <c r="R34" s="58">
        <f t="shared" si="3"/>
        <v>0</v>
      </c>
      <c r="S34" s="5"/>
      <c r="T34" s="6"/>
      <c r="U34" s="7"/>
      <c r="V34" s="8"/>
      <c r="W34" s="8"/>
      <c r="X34" s="47"/>
      <c r="Y34" s="13"/>
      <c r="Z34" s="57"/>
    </row>
    <row r="35" spans="2:26" x14ac:dyDescent="0.35">
      <c r="B35" s="5">
        <v>46262</v>
      </c>
      <c r="C35" s="6" t="s">
        <v>109</v>
      </c>
      <c r="D35" s="7" t="s">
        <v>1</v>
      </c>
      <c r="E35" s="8" t="s">
        <v>80</v>
      </c>
      <c r="F35" s="8" t="s">
        <v>77</v>
      </c>
      <c r="G35" s="93">
        <v>5520</v>
      </c>
      <c r="H35" s="13">
        <f t="shared" si="0"/>
        <v>5283.8700000000008</v>
      </c>
      <c r="I35" s="21">
        <v>0</v>
      </c>
      <c r="J35" s="16">
        <f t="shared" ref="J35:J66" si="4">9.25%*10%</f>
        <v>9.2499999999999995E-3</v>
      </c>
      <c r="K35" s="10" t="s">
        <v>18</v>
      </c>
      <c r="L35" s="19" t="s">
        <v>36</v>
      </c>
      <c r="M35" s="34">
        <v>836.82715447154465</v>
      </c>
      <c r="N35" s="34">
        <v>185.07</v>
      </c>
      <c r="O35" s="12">
        <f t="shared" si="2"/>
        <v>7078.8396697537955</v>
      </c>
      <c r="P35" s="66"/>
      <c r="R35" s="58">
        <f t="shared" ref="R35:R67" si="5">IFERROR(H35/Y35-1,0)</f>
        <v>0</v>
      </c>
      <c r="S35" s="5"/>
      <c r="T35" s="6"/>
      <c r="U35" s="7"/>
      <c r="V35" s="8"/>
      <c r="W35" s="8"/>
      <c r="X35" s="47"/>
      <c r="Y35" s="13"/>
      <c r="Z35" s="57"/>
    </row>
    <row r="36" spans="2:26" x14ac:dyDescent="0.35">
      <c r="B36" s="5">
        <v>46262</v>
      </c>
      <c r="C36" s="6" t="s">
        <v>107</v>
      </c>
      <c r="D36" s="7" t="s">
        <v>1</v>
      </c>
      <c r="E36" s="8" t="s">
        <v>80</v>
      </c>
      <c r="F36" s="8" t="s">
        <v>77</v>
      </c>
      <c r="G36" s="93">
        <v>5520</v>
      </c>
      <c r="H36" s="13">
        <f t="shared" si="0"/>
        <v>5237.8500000000004</v>
      </c>
      <c r="I36" s="21">
        <v>0</v>
      </c>
      <c r="J36" s="16">
        <f t="shared" si="4"/>
        <v>9.2499999999999995E-3</v>
      </c>
      <c r="K36" s="10" t="s">
        <v>18</v>
      </c>
      <c r="L36" s="19" t="s">
        <v>36</v>
      </c>
      <c r="M36" s="34">
        <v>876.56072845528456</v>
      </c>
      <c r="N36" s="34">
        <v>231.09</v>
      </c>
      <c r="O36" s="12">
        <f t="shared" si="2"/>
        <v>7071.6293079798179</v>
      </c>
      <c r="P36" s="66"/>
      <c r="R36" s="58">
        <f t="shared" si="5"/>
        <v>0</v>
      </c>
      <c r="S36" s="5"/>
      <c r="T36" s="6"/>
      <c r="U36" s="7"/>
      <c r="V36" s="8"/>
      <c r="W36" s="8"/>
      <c r="X36" s="47"/>
      <c r="Y36" s="13"/>
      <c r="Z36" s="57"/>
    </row>
    <row r="37" spans="2:26" x14ac:dyDescent="0.35">
      <c r="B37" s="5">
        <v>46262</v>
      </c>
      <c r="C37" s="6" t="s">
        <v>111</v>
      </c>
      <c r="D37" s="7" t="s">
        <v>1</v>
      </c>
      <c r="E37" s="8" t="s">
        <v>80</v>
      </c>
      <c r="F37" s="8" t="s">
        <v>77</v>
      </c>
      <c r="G37" s="93">
        <v>5520</v>
      </c>
      <c r="H37" s="13">
        <f t="shared" si="0"/>
        <v>5189.8500000000004</v>
      </c>
      <c r="I37" s="21">
        <v>0</v>
      </c>
      <c r="J37" s="16">
        <f t="shared" si="4"/>
        <v>9.2499999999999995E-3</v>
      </c>
      <c r="K37" s="10" t="s">
        <v>18</v>
      </c>
      <c r="L37" s="19" t="s">
        <v>36</v>
      </c>
      <c r="M37" s="34">
        <v>965.39140357723568</v>
      </c>
      <c r="N37" s="34">
        <v>279.08999999999997</v>
      </c>
      <c r="O37" s="12">
        <f t="shared" si="2"/>
        <v>7118.460995546573</v>
      </c>
      <c r="P37" s="66"/>
      <c r="R37" s="58">
        <f t="shared" si="5"/>
        <v>0</v>
      </c>
      <c r="S37" s="5"/>
      <c r="T37" s="6"/>
      <c r="U37" s="7"/>
      <c r="V37" s="8"/>
      <c r="W37" s="8"/>
      <c r="X37" s="47"/>
      <c r="Y37" s="13"/>
      <c r="Z37" s="57"/>
    </row>
    <row r="38" spans="2:26" x14ac:dyDescent="0.35">
      <c r="B38" s="5">
        <v>46262</v>
      </c>
      <c r="C38" s="6" t="s">
        <v>106</v>
      </c>
      <c r="D38" s="7" t="s">
        <v>1</v>
      </c>
      <c r="E38" s="8" t="s">
        <v>80</v>
      </c>
      <c r="F38" s="8" t="s">
        <v>77</v>
      </c>
      <c r="G38" s="93">
        <v>5520</v>
      </c>
      <c r="H38" s="13">
        <f t="shared" si="0"/>
        <v>5167.67</v>
      </c>
      <c r="I38" s="21">
        <v>0</v>
      </c>
      <c r="J38" s="16">
        <f t="shared" si="4"/>
        <v>9.2499999999999995E-3</v>
      </c>
      <c r="K38" s="10" t="s">
        <v>18</v>
      </c>
      <c r="L38" s="19" t="s">
        <v>36</v>
      </c>
      <c r="M38" s="34">
        <v>939.24825951219509</v>
      </c>
      <c r="N38" s="34">
        <v>301.27</v>
      </c>
      <c r="O38" s="12">
        <f t="shared" si="2"/>
        <v>7063.0356473656248</v>
      </c>
      <c r="P38" s="66"/>
      <c r="R38" s="58">
        <f t="shared" si="5"/>
        <v>0</v>
      </c>
      <c r="S38" s="5"/>
      <c r="T38" s="6"/>
      <c r="U38" s="7"/>
      <c r="V38" s="8"/>
      <c r="W38" s="8"/>
      <c r="X38" s="47"/>
      <c r="Y38" s="13"/>
      <c r="Z38" s="57"/>
    </row>
    <row r="39" spans="2:26" x14ac:dyDescent="0.35">
      <c r="B39" s="5">
        <v>46262</v>
      </c>
      <c r="C39" s="6" t="s">
        <v>108</v>
      </c>
      <c r="D39" s="7" t="s">
        <v>1</v>
      </c>
      <c r="E39" s="8" t="s">
        <v>80</v>
      </c>
      <c r="F39" s="8" t="s">
        <v>77</v>
      </c>
      <c r="G39" s="93">
        <v>5520</v>
      </c>
      <c r="H39" s="13">
        <f t="shared" si="0"/>
        <v>5114.6900000000005</v>
      </c>
      <c r="I39" s="21">
        <v>0</v>
      </c>
      <c r="J39" s="16">
        <f t="shared" si="4"/>
        <v>9.2499999999999995E-3</v>
      </c>
      <c r="K39" s="10" t="s">
        <v>18</v>
      </c>
      <c r="L39" s="19" t="s">
        <v>36</v>
      </c>
      <c r="M39" s="34">
        <v>994.64974569105698</v>
      </c>
      <c r="N39" s="34">
        <v>354.25</v>
      </c>
      <c r="O39" s="12">
        <f t="shared" si="2"/>
        <v>7065.8130269665498</v>
      </c>
      <c r="P39" s="66"/>
      <c r="R39" s="58">
        <f t="shared" si="5"/>
        <v>0</v>
      </c>
      <c r="S39" s="5"/>
      <c r="T39" s="6"/>
      <c r="U39" s="7"/>
      <c r="V39" s="8"/>
      <c r="W39" s="8"/>
      <c r="X39" s="47"/>
      <c r="Y39" s="13"/>
      <c r="Z39" s="57"/>
    </row>
    <row r="40" spans="2:26" x14ac:dyDescent="0.35">
      <c r="B40" s="5">
        <v>46262</v>
      </c>
      <c r="C40" s="6" t="s">
        <v>105</v>
      </c>
      <c r="D40" s="7" t="s">
        <v>1</v>
      </c>
      <c r="E40" s="8" t="s">
        <v>80</v>
      </c>
      <c r="F40" s="8" t="s">
        <v>77</v>
      </c>
      <c r="G40" s="93">
        <v>5520</v>
      </c>
      <c r="H40" s="13">
        <f t="shared" si="0"/>
        <v>5053.51</v>
      </c>
      <c r="I40" s="21">
        <v>0</v>
      </c>
      <c r="J40" s="16">
        <f t="shared" si="4"/>
        <v>9.2499999999999995E-3</v>
      </c>
      <c r="K40" s="10" t="s">
        <v>18</v>
      </c>
      <c r="L40" s="19" t="s">
        <v>36</v>
      </c>
      <c r="M40" s="34">
        <v>608.76454471544707</v>
      </c>
      <c r="N40" s="34">
        <v>415.43</v>
      </c>
      <c r="O40" s="12">
        <f t="shared" si="2"/>
        <v>6553.04125056253</v>
      </c>
      <c r="P40" s="66"/>
      <c r="R40" s="58">
        <f t="shared" si="5"/>
        <v>0</v>
      </c>
      <c r="S40" s="5"/>
      <c r="T40" s="6"/>
      <c r="U40" s="7"/>
      <c r="V40" s="8"/>
      <c r="W40" s="8"/>
      <c r="X40" s="47"/>
      <c r="Y40" s="13"/>
      <c r="Z40" s="57"/>
    </row>
    <row r="41" spans="2:26" x14ac:dyDescent="0.35">
      <c r="B41" s="5">
        <v>46262</v>
      </c>
      <c r="C41" s="6" t="s">
        <v>110</v>
      </c>
      <c r="D41" s="7" t="s">
        <v>1</v>
      </c>
      <c r="E41" s="8" t="s">
        <v>80</v>
      </c>
      <c r="F41" s="8" t="s">
        <v>77</v>
      </c>
      <c r="G41" s="93">
        <v>5520</v>
      </c>
      <c r="H41" s="13">
        <f t="shared" si="0"/>
        <v>4997.7100000000009</v>
      </c>
      <c r="I41" s="21">
        <v>0</v>
      </c>
      <c r="J41" s="16">
        <f t="shared" si="4"/>
        <v>9.2499999999999995E-3</v>
      </c>
      <c r="K41" s="10" t="s">
        <v>18</v>
      </c>
      <c r="L41" s="19" t="s">
        <v>36</v>
      </c>
      <c r="M41" s="34">
        <v>866.50006796747971</v>
      </c>
      <c r="N41" s="34">
        <v>471.23</v>
      </c>
      <c r="O41" s="12">
        <f t="shared" si="2"/>
        <v>6784.655871318193</v>
      </c>
      <c r="P41" s="66"/>
      <c r="R41" s="58">
        <f t="shared" si="5"/>
        <v>0</v>
      </c>
      <c r="S41" s="5"/>
      <c r="T41" s="6"/>
      <c r="U41" s="7"/>
      <c r="V41" s="8"/>
      <c r="W41" s="8"/>
      <c r="X41" s="47"/>
      <c r="Y41" s="13"/>
      <c r="Z41" s="57"/>
    </row>
    <row r="42" spans="2:26" x14ac:dyDescent="0.35">
      <c r="B42" s="5">
        <v>46262</v>
      </c>
      <c r="C42" s="6" t="s">
        <v>103</v>
      </c>
      <c r="D42" s="7" t="s">
        <v>1</v>
      </c>
      <c r="E42" s="8" t="s">
        <v>80</v>
      </c>
      <c r="F42" s="8" t="s">
        <v>77</v>
      </c>
      <c r="G42" s="93">
        <v>5520</v>
      </c>
      <c r="H42" s="13">
        <f t="shared" si="0"/>
        <v>5129.8500000000004</v>
      </c>
      <c r="I42" s="21">
        <v>0</v>
      </c>
      <c r="J42" s="16">
        <f t="shared" si="4"/>
        <v>9.2499999999999995E-3</v>
      </c>
      <c r="K42" s="10" t="s">
        <v>18</v>
      </c>
      <c r="L42" s="19" t="s">
        <v>36</v>
      </c>
      <c r="M42" s="34">
        <v>583.38495121951212</v>
      </c>
      <c r="N42" s="34">
        <v>339.09</v>
      </c>
      <c r="O42" s="12">
        <f t="shared" si="2"/>
        <v>6611.4914679186013</v>
      </c>
      <c r="P42" s="66"/>
      <c r="R42" s="58">
        <f t="shared" si="5"/>
        <v>0</v>
      </c>
      <c r="S42" s="5"/>
      <c r="T42" s="6"/>
      <c r="U42" s="7"/>
      <c r="V42" s="8"/>
      <c r="W42" s="8"/>
      <c r="X42" s="47"/>
      <c r="Y42" s="13"/>
      <c r="Z42" s="57"/>
    </row>
    <row r="43" spans="2:26" x14ac:dyDescent="0.35">
      <c r="B43" s="5">
        <v>46262</v>
      </c>
      <c r="C43" s="6" t="s">
        <v>116</v>
      </c>
      <c r="D43" s="7" t="s">
        <v>6</v>
      </c>
      <c r="E43" s="8" t="s">
        <v>45</v>
      </c>
      <c r="F43" s="23" t="s">
        <v>47</v>
      </c>
      <c r="G43" s="93">
        <v>5600</v>
      </c>
      <c r="H43" s="13">
        <f t="shared" si="0"/>
        <v>5210.2</v>
      </c>
      <c r="I43" s="20">
        <v>0</v>
      </c>
      <c r="J43" s="16">
        <f t="shared" si="4"/>
        <v>9.2499999999999995E-3</v>
      </c>
      <c r="K43" s="10" t="s">
        <v>18</v>
      </c>
      <c r="L43" s="19" t="s">
        <v>36</v>
      </c>
      <c r="M43" s="44">
        <v>1089.880593495935</v>
      </c>
      <c r="N43" s="43">
        <v>338</v>
      </c>
      <c r="O43" s="12">
        <f t="shared" si="2"/>
        <v>7285.4364158189783</v>
      </c>
      <c r="P43" s="66"/>
      <c r="R43" s="58">
        <f t="shared" si="5"/>
        <v>0</v>
      </c>
      <c r="S43" s="5"/>
      <c r="T43" s="6"/>
      <c r="U43" s="7"/>
      <c r="V43" s="8"/>
      <c r="W43" s="8"/>
      <c r="X43" s="47"/>
      <c r="Y43" s="13"/>
      <c r="Z43" s="57"/>
    </row>
    <row r="44" spans="2:26" x14ac:dyDescent="0.35">
      <c r="B44" s="5">
        <v>46262</v>
      </c>
      <c r="C44" s="6" t="s">
        <v>117</v>
      </c>
      <c r="D44" s="7" t="s">
        <v>6</v>
      </c>
      <c r="E44" s="8" t="s">
        <v>45</v>
      </c>
      <c r="F44" s="23" t="s">
        <v>47</v>
      </c>
      <c r="G44" s="93">
        <v>5600</v>
      </c>
      <c r="H44" s="13">
        <f t="shared" si="0"/>
        <v>5081</v>
      </c>
      <c r="I44" s="20">
        <v>0</v>
      </c>
      <c r="J44" s="16">
        <f t="shared" si="4"/>
        <v>9.2499999999999995E-3</v>
      </c>
      <c r="K44" s="10" t="s">
        <v>18</v>
      </c>
      <c r="L44" s="19" t="s">
        <v>36</v>
      </c>
      <c r="M44" s="35">
        <v>942.9343300813008</v>
      </c>
      <c r="N44" s="32">
        <v>467.2</v>
      </c>
      <c r="O44" s="12">
        <f t="shared" si="2"/>
        <v>6968.7040695539426</v>
      </c>
      <c r="P44" s="66"/>
      <c r="R44" s="58">
        <f t="shared" si="5"/>
        <v>0</v>
      </c>
      <c r="S44" s="5"/>
      <c r="T44" s="6"/>
      <c r="U44" s="7"/>
      <c r="V44" s="8"/>
      <c r="W44" s="8"/>
      <c r="X44" s="47"/>
      <c r="Y44" s="13"/>
      <c r="Z44" s="57"/>
    </row>
    <row r="45" spans="2:26" x14ac:dyDescent="0.35">
      <c r="B45" s="5">
        <v>46262</v>
      </c>
      <c r="C45" s="6" t="s">
        <v>115</v>
      </c>
      <c r="D45" s="7" t="s">
        <v>6</v>
      </c>
      <c r="E45" s="8" t="s">
        <v>45</v>
      </c>
      <c r="F45" s="23" t="s">
        <v>47</v>
      </c>
      <c r="G45" s="93">
        <v>5600</v>
      </c>
      <c r="H45" s="13">
        <f t="shared" si="0"/>
        <v>5075.32</v>
      </c>
      <c r="I45" s="20">
        <v>0</v>
      </c>
      <c r="J45" s="16">
        <f t="shared" si="4"/>
        <v>9.2499999999999995E-3</v>
      </c>
      <c r="K45" s="10" t="s">
        <v>18</v>
      </c>
      <c r="L45" s="19" t="s">
        <v>36</v>
      </c>
      <c r="M45" s="32">
        <v>891.34357886178839</v>
      </c>
      <c r="N45" s="32">
        <v>472.88</v>
      </c>
      <c r="O45" s="12">
        <f t="shared" si="2"/>
        <v>6903.0160563184318</v>
      </c>
      <c r="P45" s="66"/>
      <c r="R45" s="58">
        <f t="shared" si="5"/>
        <v>0</v>
      </c>
      <c r="S45" s="5"/>
      <c r="T45" s="6"/>
      <c r="U45" s="7"/>
      <c r="V45" s="8"/>
      <c r="W45" s="8"/>
      <c r="X45" s="47"/>
      <c r="Y45" s="13"/>
      <c r="Z45" s="57"/>
    </row>
    <row r="46" spans="2:26" x14ac:dyDescent="0.35">
      <c r="B46" s="5">
        <v>46262</v>
      </c>
      <c r="C46" s="6" t="s">
        <v>119</v>
      </c>
      <c r="D46" s="7" t="s">
        <v>6</v>
      </c>
      <c r="E46" s="8" t="s">
        <v>45</v>
      </c>
      <c r="F46" s="23" t="s">
        <v>47</v>
      </c>
      <c r="G46" s="93">
        <v>5600</v>
      </c>
      <c r="H46" s="13">
        <f t="shared" si="0"/>
        <v>5070.24</v>
      </c>
      <c r="I46" s="20">
        <v>0</v>
      </c>
      <c r="J46" s="16">
        <f t="shared" si="4"/>
        <v>9.2499999999999995E-3</v>
      </c>
      <c r="K46" s="10" t="s">
        <v>18</v>
      </c>
      <c r="L46" s="19" t="s">
        <v>36</v>
      </c>
      <c r="M46" s="35">
        <v>1004.1712263414601</v>
      </c>
      <c r="N46" s="32">
        <v>477.96</v>
      </c>
      <c r="O46" s="12">
        <f t="shared" si="2"/>
        <v>7026.5997136483611</v>
      </c>
      <c r="P46" s="66"/>
      <c r="R46" s="58">
        <f t="shared" si="5"/>
        <v>0</v>
      </c>
      <c r="S46" s="5"/>
      <c r="T46" s="6"/>
      <c r="U46" s="7"/>
      <c r="V46" s="8"/>
      <c r="W46" s="8"/>
      <c r="X46" s="47"/>
      <c r="Y46" s="13"/>
      <c r="Z46" s="57"/>
    </row>
    <row r="47" spans="2:26" x14ac:dyDescent="0.35">
      <c r="B47" s="5">
        <v>46262</v>
      </c>
      <c r="C47" s="6" t="s">
        <v>118</v>
      </c>
      <c r="D47" s="7" t="s">
        <v>6</v>
      </c>
      <c r="E47" s="8" t="s">
        <v>45</v>
      </c>
      <c r="F47" s="23" t="s">
        <v>47</v>
      </c>
      <c r="G47" s="93">
        <v>5600</v>
      </c>
      <c r="H47" s="13">
        <f t="shared" si="0"/>
        <v>5014.6099999999997</v>
      </c>
      <c r="I47" s="20">
        <v>0</v>
      </c>
      <c r="J47" s="16">
        <f t="shared" si="4"/>
        <v>9.2499999999999995E-3</v>
      </c>
      <c r="K47" s="10" t="s">
        <v>18</v>
      </c>
      <c r="L47" s="19" t="s">
        <v>36</v>
      </c>
      <c r="M47" s="35">
        <v>1026.9603073170733</v>
      </c>
      <c r="N47" s="32">
        <v>533.59</v>
      </c>
      <c r="O47" s="12">
        <f t="shared" si="2"/>
        <v>6988.9320617037974</v>
      </c>
      <c r="P47" s="66"/>
      <c r="R47" s="58">
        <f t="shared" si="5"/>
        <v>0</v>
      </c>
      <c r="S47" s="5"/>
      <c r="T47" s="6"/>
      <c r="U47" s="7"/>
      <c r="V47" s="8"/>
      <c r="W47" s="8"/>
      <c r="X47" s="47"/>
      <c r="Y47" s="13"/>
      <c r="Z47" s="57"/>
    </row>
    <row r="48" spans="2:26" x14ac:dyDescent="0.35">
      <c r="B48" s="5">
        <v>46262</v>
      </c>
      <c r="C48" s="6" t="s">
        <v>120</v>
      </c>
      <c r="D48" s="7" t="s">
        <v>7</v>
      </c>
      <c r="E48" s="8" t="s">
        <v>45</v>
      </c>
      <c r="F48" s="8" t="s">
        <v>47</v>
      </c>
      <c r="G48" s="93">
        <v>5600</v>
      </c>
      <c r="H48" s="13">
        <f t="shared" si="0"/>
        <v>4490.2460000000001</v>
      </c>
      <c r="I48" s="9">
        <v>0.12</v>
      </c>
      <c r="J48" s="16">
        <f t="shared" si="4"/>
        <v>9.2499999999999995E-3</v>
      </c>
      <c r="K48" s="10" t="s">
        <v>18</v>
      </c>
      <c r="L48" s="19" t="s">
        <v>36</v>
      </c>
      <c r="M48" s="31">
        <v>911.61348455284553</v>
      </c>
      <c r="N48" s="33">
        <v>392.17</v>
      </c>
      <c r="O48" s="12">
        <f t="shared" si="2"/>
        <v>6119.4434845528458</v>
      </c>
      <c r="P48" s="66"/>
      <c r="R48" s="58">
        <f t="shared" si="5"/>
        <v>0</v>
      </c>
      <c r="S48" s="5"/>
      <c r="T48" s="6"/>
      <c r="U48" s="7"/>
      <c r="V48" s="8"/>
      <c r="W48" s="8"/>
      <c r="X48" s="47"/>
      <c r="Y48" s="13"/>
      <c r="Z48" s="57"/>
    </row>
    <row r="49" spans="2:26" x14ac:dyDescent="0.35">
      <c r="B49" s="5">
        <v>46262</v>
      </c>
      <c r="C49" s="6" t="s">
        <v>100</v>
      </c>
      <c r="D49" s="7" t="s">
        <v>2</v>
      </c>
      <c r="E49" s="8" t="s">
        <v>39</v>
      </c>
      <c r="F49" s="8" t="s">
        <v>40</v>
      </c>
      <c r="G49" s="24"/>
      <c r="H49" s="13">
        <f t="shared" si="0"/>
        <v>-177.25463393939395</v>
      </c>
      <c r="I49" s="18">
        <v>0.12</v>
      </c>
      <c r="J49" s="16">
        <f t="shared" si="4"/>
        <v>9.2499999999999995E-3</v>
      </c>
      <c r="K49" s="10" t="s">
        <v>18</v>
      </c>
      <c r="L49" s="19" t="s">
        <v>36</v>
      </c>
      <c r="M49" s="31">
        <v>438.92450211382118</v>
      </c>
      <c r="N49" s="33">
        <v>177.25463393939395</v>
      </c>
      <c r="O49" s="12">
        <f t="shared" si="2"/>
        <v>261.66986817442722</v>
      </c>
      <c r="P49" s="66" t="s">
        <v>169</v>
      </c>
      <c r="R49" s="58">
        <f t="shared" si="5"/>
        <v>0</v>
      </c>
      <c r="S49" s="5"/>
      <c r="T49" s="6"/>
      <c r="U49" s="7"/>
      <c r="V49" s="8"/>
      <c r="W49" s="8"/>
      <c r="X49" s="47"/>
      <c r="Y49" s="13"/>
      <c r="Z49" s="57"/>
    </row>
    <row r="50" spans="2:26" x14ac:dyDescent="0.35">
      <c r="B50" s="5">
        <v>46262</v>
      </c>
      <c r="C50" s="6" t="s">
        <v>102</v>
      </c>
      <c r="D50" s="7" t="s">
        <v>2</v>
      </c>
      <c r="E50" s="8" t="s">
        <v>39</v>
      </c>
      <c r="F50" s="8" t="s">
        <v>40</v>
      </c>
      <c r="G50" s="24"/>
      <c r="H50" s="13">
        <f t="shared" si="0"/>
        <v>-285.06877818181817</v>
      </c>
      <c r="I50" s="18">
        <v>0.12</v>
      </c>
      <c r="J50" s="16">
        <f t="shared" si="4"/>
        <v>9.2499999999999995E-3</v>
      </c>
      <c r="K50" s="10" t="s">
        <v>18</v>
      </c>
      <c r="L50" s="19" t="s">
        <v>36</v>
      </c>
      <c r="M50" s="31">
        <v>484.76667186991864</v>
      </c>
      <c r="N50" s="33">
        <v>285.06877818181817</v>
      </c>
      <c r="O50" s="12">
        <f t="shared" si="2"/>
        <v>199.69789368810046</v>
      </c>
      <c r="P50" s="66" t="s">
        <v>169</v>
      </c>
      <c r="R50" s="58">
        <f t="shared" si="5"/>
        <v>0</v>
      </c>
      <c r="S50" s="5"/>
      <c r="T50" s="6"/>
      <c r="U50" s="7"/>
      <c r="V50" s="8"/>
      <c r="W50" s="8"/>
      <c r="X50" s="47"/>
      <c r="Y50" s="13"/>
      <c r="Z50" s="57"/>
    </row>
    <row r="51" spans="2:26" x14ac:dyDescent="0.35">
      <c r="B51" s="5">
        <v>46262</v>
      </c>
      <c r="C51" s="6" t="s">
        <v>101</v>
      </c>
      <c r="D51" s="7" t="s">
        <v>2</v>
      </c>
      <c r="E51" s="8" t="s">
        <v>39</v>
      </c>
      <c r="F51" s="8" t="s">
        <v>40</v>
      </c>
      <c r="G51" s="24"/>
      <c r="H51" s="13">
        <f t="shared" si="0"/>
        <v>-253.20739636363632</v>
      </c>
      <c r="I51" s="18">
        <v>0.12</v>
      </c>
      <c r="J51" s="16">
        <f t="shared" si="4"/>
        <v>9.2499999999999995E-3</v>
      </c>
      <c r="K51" s="10" t="s">
        <v>18</v>
      </c>
      <c r="L51" s="19" t="s">
        <v>36</v>
      </c>
      <c r="M51" s="31">
        <v>445.71607804878045</v>
      </c>
      <c r="N51" s="31">
        <v>253.20739636363632</v>
      </c>
      <c r="O51" s="12">
        <f t="shared" si="2"/>
        <v>192.50868168514413</v>
      </c>
      <c r="P51" s="66" t="s">
        <v>169</v>
      </c>
      <c r="R51" s="58">
        <f t="shared" si="5"/>
        <v>0</v>
      </c>
      <c r="S51" s="5"/>
      <c r="T51" s="6"/>
      <c r="U51" s="7"/>
      <c r="V51" s="8"/>
      <c r="W51" s="8"/>
      <c r="X51" s="47"/>
      <c r="Y51" s="13"/>
      <c r="Z51" s="57"/>
    </row>
    <row r="52" spans="2:26" x14ac:dyDescent="0.35">
      <c r="B52" s="5">
        <v>46262</v>
      </c>
      <c r="C52" s="6" t="s">
        <v>121</v>
      </c>
      <c r="D52" s="7" t="s">
        <v>3</v>
      </c>
      <c r="E52" s="8" t="s">
        <v>39</v>
      </c>
      <c r="F52" s="8" t="s">
        <v>40</v>
      </c>
      <c r="G52" s="24"/>
      <c r="H52" s="13">
        <f t="shared" si="0"/>
        <v>-183.17505454545454</v>
      </c>
      <c r="I52" s="9">
        <v>0.12</v>
      </c>
      <c r="J52" s="16">
        <f t="shared" si="4"/>
        <v>9.2499999999999995E-3</v>
      </c>
      <c r="K52" s="19" t="s">
        <v>18</v>
      </c>
      <c r="L52" s="19" t="s">
        <v>36</v>
      </c>
      <c r="M52" s="31">
        <v>243.357521300813</v>
      </c>
      <c r="N52" s="31">
        <v>183.17505454545454</v>
      </c>
      <c r="O52" s="12">
        <f t="shared" si="2"/>
        <v>60.182466755358462</v>
      </c>
      <c r="P52" s="66" t="s">
        <v>169</v>
      </c>
      <c r="R52" s="58">
        <f t="shared" si="5"/>
        <v>0</v>
      </c>
      <c r="S52" s="5"/>
      <c r="T52" s="6"/>
      <c r="U52" s="7"/>
      <c r="V52" s="8"/>
      <c r="W52" s="8"/>
      <c r="X52" s="47"/>
      <c r="Y52" s="13"/>
      <c r="Z52" s="57"/>
    </row>
    <row r="53" spans="2:26" x14ac:dyDescent="0.35">
      <c r="B53" s="5">
        <v>46262</v>
      </c>
      <c r="C53" s="6" t="s">
        <v>122</v>
      </c>
      <c r="D53" s="7" t="s">
        <v>3</v>
      </c>
      <c r="E53" s="8" t="s">
        <v>39</v>
      </c>
      <c r="F53" s="8" t="s">
        <v>40</v>
      </c>
      <c r="G53" s="24"/>
      <c r="H53" s="13">
        <f t="shared" si="0"/>
        <v>-252.69025939393939</v>
      </c>
      <c r="I53" s="9">
        <v>0.12</v>
      </c>
      <c r="J53" s="16">
        <f t="shared" si="4"/>
        <v>9.2499999999999995E-3</v>
      </c>
      <c r="K53" s="19" t="s">
        <v>18</v>
      </c>
      <c r="L53" s="19" t="s">
        <v>36</v>
      </c>
      <c r="M53" s="33">
        <v>240.83857951219514</v>
      </c>
      <c r="N53" s="31">
        <v>252.69025939393939</v>
      </c>
      <c r="O53" s="12">
        <f t="shared" si="2"/>
        <v>-11.851679881744246</v>
      </c>
      <c r="P53" s="66" t="s">
        <v>169</v>
      </c>
      <c r="R53" s="58">
        <f t="shared" si="5"/>
        <v>0</v>
      </c>
      <c r="S53" s="5"/>
      <c r="T53" s="6"/>
      <c r="U53" s="7"/>
      <c r="V53" s="8"/>
      <c r="W53" s="8"/>
      <c r="X53" s="47"/>
      <c r="Y53" s="13"/>
      <c r="Z53" s="57"/>
    </row>
    <row r="54" spans="2:26" x14ac:dyDescent="0.35">
      <c r="B54" s="5">
        <v>46262</v>
      </c>
      <c r="C54" s="6" t="s">
        <v>123</v>
      </c>
      <c r="D54" s="7" t="s">
        <v>3</v>
      </c>
      <c r="E54" s="8" t="s">
        <v>39</v>
      </c>
      <c r="F54" s="8" t="s">
        <v>40</v>
      </c>
      <c r="G54" s="24"/>
      <c r="H54" s="13">
        <f t="shared" si="0"/>
        <v>-285.12877818181818</v>
      </c>
      <c r="I54" s="9">
        <v>0.12</v>
      </c>
      <c r="J54" s="16">
        <f t="shared" si="4"/>
        <v>9.2499999999999995E-3</v>
      </c>
      <c r="K54" s="19" t="s">
        <v>18</v>
      </c>
      <c r="L54" s="19" t="s">
        <v>36</v>
      </c>
      <c r="M54" s="31">
        <v>324.29597008130082</v>
      </c>
      <c r="N54" s="31">
        <v>285.12877818181818</v>
      </c>
      <c r="O54" s="12">
        <f t="shared" si="2"/>
        <v>39.167191899482646</v>
      </c>
      <c r="P54" s="66" t="s">
        <v>169</v>
      </c>
      <c r="R54" s="58">
        <f t="shared" si="5"/>
        <v>0</v>
      </c>
      <c r="S54" s="5"/>
      <c r="T54" s="6"/>
      <c r="U54" s="7"/>
      <c r="V54" s="8"/>
      <c r="W54" s="8"/>
      <c r="X54" s="47"/>
      <c r="Y54" s="13"/>
      <c r="Z54" s="57"/>
    </row>
    <row r="55" spans="2:26" x14ac:dyDescent="0.35">
      <c r="B55" s="5">
        <v>46262</v>
      </c>
      <c r="C55" s="6" t="s">
        <v>114</v>
      </c>
      <c r="D55" s="7" t="s">
        <v>5</v>
      </c>
      <c r="E55" s="8" t="s">
        <v>26</v>
      </c>
      <c r="F55" s="8" t="s">
        <v>27</v>
      </c>
      <c r="G55" s="24"/>
      <c r="H55" s="13">
        <f t="shared" si="0"/>
        <v>-287.88</v>
      </c>
      <c r="I55" s="20">
        <v>0</v>
      </c>
      <c r="J55" s="16">
        <f t="shared" si="4"/>
        <v>9.2499999999999995E-3</v>
      </c>
      <c r="K55" s="10" t="s">
        <v>18</v>
      </c>
      <c r="L55" s="10" t="s">
        <v>28</v>
      </c>
      <c r="M55" s="31">
        <v>662.70499512195113</v>
      </c>
      <c r="N55" s="31">
        <v>287.88</v>
      </c>
      <c r="O55" s="12">
        <f t="shared" si="2"/>
        <v>429.91420081429482</v>
      </c>
      <c r="P55" s="66" t="s">
        <v>173</v>
      </c>
      <c r="R55" s="58">
        <f t="shared" si="5"/>
        <v>0</v>
      </c>
      <c r="S55" s="5"/>
      <c r="T55" s="6"/>
      <c r="U55" s="7"/>
      <c r="V55" s="8"/>
      <c r="W55" s="8"/>
      <c r="X55" s="47"/>
      <c r="Y55" s="13"/>
      <c r="Z55" s="57"/>
    </row>
    <row r="56" spans="2:26" x14ac:dyDescent="0.35">
      <c r="B56" s="5">
        <v>46262</v>
      </c>
      <c r="C56" s="8" t="s">
        <v>98</v>
      </c>
      <c r="D56" s="14" t="s">
        <v>4</v>
      </c>
      <c r="E56" s="15" t="s">
        <v>33</v>
      </c>
      <c r="F56" s="8" t="s">
        <v>34</v>
      </c>
      <c r="G56" s="24"/>
      <c r="H56" s="13">
        <f t="shared" si="0"/>
        <v>-184.66572121212121</v>
      </c>
      <c r="I56" s="20">
        <v>0</v>
      </c>
      <c r="J56" s="16">
        <f t="shared" si="4"/>
        <v>9.2499999999999995E-3</v>
      </c>
      <c r="K56" s="10" t="s">
        <v>18</v>
      </c>
      <c r="L56" s="10" t="s">
        <v>35</v>
      </c>
      <c r="M56" s="31">
        <v>489.18180975609749</v>
      </c>
      <c r="N56" s="31">
        <v>184.66572121212121</v>
      </c>
      <c r="O56" s="12">
        <f t="shared" si="2"/>
        <v>349.2717736150027</v>
      </c>
      <c r="P56" s="66" t="s">
        <v>173</v>
      </c>
      <c r="R56" s="58">
        <f t="shared" si="5"/>
        <v>0</v>
      </c>
      <c r="S56" s="5"/>
      <c r="T56" s="6"/>
      <c r="U56" s="7"/>
      <c r="V56" s="8"/>
      <c r="W56" s="8"/>
      <c r="X56" s="47"/>
      <c r="Y56" s="13"/>
      <c r="Z56" s="57"/>
    </row>
    <row r="57" spans="2:26" x14ac:dyDescent="0.35">
      <c r="B57" s="5">
        <v>46262</v>
      </c>
      <c r="C57" s="8" t="s">
        <v>97</v>
      </c>
      <c r="D57" s="14" t="s">
        <v>4</v>
      </c>
      <c r="E57" s="15" t="s">
        <v>33</v>
      </c>
      <c r="F57" s="8" t="s">
        <v>34</v>
      </c>
      <c r="G57" s="24"/>
      <c r="H57" s="13">
        <f t="shared" si="0"/>
        <v>-186.61685393939393</v>
      </c>
      <c r="I57" s="20">
        <v>0</v>
      </c>
      <c r="J57" s="16">
        <f t="shared" si="4"/>
        <v>9.2499999999999995E-3</v>
      </c>
      <c r="K57" s="10" t="s">
        <v>18</v>
      </c>
      <c r="L57" s="10" t="s">
        <v>35</v>
      </c>
      <c r="M57" s="31">
        <v>493.74063902439019</v>
      </c>
      <c r="N57" s="31">
        <v>186.61685393939393</v>
      </c>
      <c r="O57" s="12">
        <f t="shared" si="2"/>
        <v>352.26273149931899</v>
      </c>
      <c r="P57" s="66" t="s">
        <v>173</v>
      </c>
      <c r="R57" s="58">
        <f t="shared" si="5"/>
        <v>0</v>
      </c>
      <c r="S57" s="5"/>
      <c r="T57" s="6"/>
      <c r="U57" s="7"/>
      <c r="V57" s="8"/>
      <c r="W57" s="8"/>
      <c r="X57" s="47"/>
      <c r="Y57" s="13"/>
      <c r="Z57" s="57"/>
    </row>
    <row r="58" spans="2:26" x14ac:dyDescent="0.35">
      <c r="B58" s="5">
        <v>46262</v>
      </c>
      <c r="C58" s="8" t="s">
        <v>99</v>
      </c>
      <c r="D58" s="14" t="s">
        <v>4</v>
      </c>
      <c r="E58" s="15" t="s">
        <v>33</v>
      </c>
      <c r="F58" s="8" t="s">
        <v>34</v>
      </c>
      <c r="G58" s="24"/>
      <c r="H58" s="13">
        <f t="shared" si="0"/>
        <v>-262.83713939393937</v>
      </c>
      <c r="I58" s="20">
        <v>0</v>
      </c>
      <c r="J58" s="16">
        <f t="shared" si="4"/>
        <v>9.2499999999999995E-3</v>
      </c>
      <c r="K58" s="10" t="s">
        <v>18</v>
      </c>
      <c r="L58" s="10" t="s">
        <v>35</v>
      </c>
      <c r="M58" s="31">
        <v>564.75200292682928</v>
      </c>
      <c r="N58" s="31">
        <v>262.83713939393937</v>
      </c>
      <c r="O58" s="12">
        <f t="shared" si="2"/>
        <v>346.28823840168133</v>
      </c>
      <c r="P58" s="66" t="s">
        <v>173</v>
      </c>
      <c r="R58" s="58">
        <f t="shared" si="5"/>
        <v>0</v>
      </c>
      <c r="S58" s="5"/>
      <c r="T58" s="6"/>
      <c r="U58" s="7"/>
      <c r="V58" s="8"/>
      <c r="W58" s="8"/>
      <c r="X58" s="47"/>
      <c r="Y58" s="13"/>
      <c r="Z58" s="57"/>
    </row>
    <row r="59" spans="2:26" x14ac:dyDescent="0.35">
      <c r="B59" s="5">
        <v>46262</v>
      </c>
      <c r="C59" s="8" t="s">
        <v>98</v>
      </c>
      <c r="D59" s="14" t="s">
        <v>4</v>
      </c>
      <c r="E59" s="15" t="s">
        <v>52</v>
      </c>
      <c r="F59" s="8" t="s">
        <v>53</v>
      </c>
      <c r="G59" s="24"/>
      <c r="H59" s="13">
        <f t="shared" si="0"/>
        <v>0</v>
      </c>
      <c r="I59" s="20">
        <v>0</v>
      </c>
      <c r="J59" s="16">
        <f t="shared" si="4"/>
        <v>9.2499999999999995E-3</v>
      </c>
      <c r="K59" s="10" t="s">
        <v>31</v>
      </c>
      <c r="L59" s="11" t="s">
        <v>50</v>
      </c>
      <c r="M59" s="31">
        <v>489.18180975609749</v>
      </c>
      <c r="N59" s="31"/>
      <c r="O59" s="12">
        <f t="shared" si="2"/>
        <v>561.07839533422509</v>
      </c>
      <c r="P59" s="66" t="s">
        <v>173</v>
      </c>
      <c r="R59" s="58">
        <f t="shared" si="5"/>
        <v>0</v>
      </c>
      <c r="S59" s="5"/>
      <c r="T59" s="6"/>
      <c r="U59" s="7"/>
      <c r="V59" s="8"/>
      <c r="W59" s="8"/>
      <c r="X59" s="47"/>
      <c r="Y59" s="13"/>
      <c r="Z59" s="57"/>
    </row>
    <row r="60" spans="2:26" x14ac:dyDescent="0.35">
      <c r="B60" s="5">
        <v>46262</v>
      </c>
      <c r="C60" s="8" t="s">
        <v>97</v>
      </c>
      <c r="D60" s="14" t="s">
        <v>4</v>
      </c>
      <c r="E60" s="15" t="s">
        <v>52</v>
      </c>
      <c r="F60" s="8" t="s">
        <v>53</v>
      </c>
      <c r="G60" s="24"/>
      <c r="H60" s="13">
        <f t="shared" si="0"/>
        <v>0</v>
      </c>
      <c r="I60" s="20">
        <v>0</v>
      </c>
      <c r="J60" s="16">
        <f t="shared" si="4"/>
        <v>9.2499999999999995E-3</v>
      </c>
      <c r="K60" s="10" t="s">
        <v>31</v>
      </c>
      <c r="L60" s="11" t="s">
        <v>50</v>
      </c>
      <c r="M60" s="31">
        <v>493.74063902439019</v>
      </c>
      <c r="N60" s="31"/>
      <c r="O60" s="12">
        <f t="shared" si="2"/>
        <v>566.30725004517956</v>
      </c>
      <c r="P60" s="66" t="s">
        <v>173</v>
      </c>
      <c r="R60" s="58">
        <f t="shared" si="5"/>
        <v>0</v>
      </c>
      <c r="S60" s="5"/>
      <c r="T60" s="6"/>
      <c r="U60" s="7"/>
      <c r="V60" s="8"/>
      <c r="W60" s="8"/>
      <c r="X60" s="47"/>
      <c r="Y60" s="13"/>
      <c r="Z60" s="57"/>
    </row>
    <row r="61" spans="2:26" x14ac:dyDescent="0.35">
      <c r="B61" s="5">
        <v>46262</v>
      </c>
      <c r="C61" s="8" t="s">
        <v>99</v>
      </c>
      <c r="D61" s="14" t="s">
        <v>4</v>
      </c>
      <c r="E61" s="28" t="s">
        <v>52</v>
      </c>
      <c r="F61" s="28" t="s">
        <v>53</v>
      </c>
      <c r="G61" s="24"/>
      <c r="H61" s="13">
        <f t="shared" si="0"/>
        <v>0</v>
      </c>
      <c r="I61" s="20">
        <v>0</v>
      </c>
      <c r="J61" s="16">
        <f t="shared" si="4"/>
        <v>9.2499999999999995E-3</v>
      </c>
      <c r="K61" s="10" t="s">
        <v>31</v>
      </c>
      <c r="L61" s="11" t="s">
        <v>50</v>
      </c>
      <c r="M61" s="31">
        <v>564.75200292682928</v>
      </c>
      <c r="N61" s="31"/>
      <c r="O61" s="12">
        <f t="shared" si="2"/>
        <v>647.75537692614557</v>
      </c>
      <c r="P61" s="66" t="s">
        <v>173</v>
      </c>
      <c r="R61" s="58">
        <f t="shared" si="5"/>
        <v>0</v>
      </c>
      <c r="S61" s="5"/>
      <c r="T61" s="6"/>
      <c r="U61" s="7"/>
      <c r="V61" s="8"/>
      <c r="W61" s="8"/>
      <c r="X61" s="47"/>
      <c r="Y61" s="13"/>
      <c r="Z61" s="57"/>
    </row>
    <row r="62" spans="2:26" x14ac:dyDescent="0.35">
      <c r="B62" s="5">
        <v>46262</v>
      </c>
      <c r="C62" s="6" t="s">
        <v>118</v>
      </c>
      <c r="D62" s="7" t="s">
        <v>6</v>
      </c>
      <c r="E62" s="8" t="s">
        <v>71</v>
      </c>
      <c r="F62" s="8" t="s">
        <v>69</v>
      </c>
      <c r="G62" s="24"/>
      <c r="H62" s="13">
        <f t="shared" si="0"/>
        <v>0</v>
      </c>
      <c r="I62" s="20">
        <v>0</v>
      </c>
      <c r="J62" s="16">
        <f t="shared" si="4"/>
        <v>9.2499999999999995E-3</v>
      </c>
      <c r="K62" s="10" t="s">
        <v>31</v>
      </c>
      <c r="L62" s="11" t="s">
        <v>32</v>
      </c>
      <c r="M62" s="31">
        <v>1026.9603073170733</v>
      </c>
      <c r="N62" s="32"/>
      <c r="O62" s="12">
        <f t="shared" si="2"/>
        <v>1177.8958861710289</v>
      </c>
      <c r="P62" s="66" t="s">
        <v>195</v>
      </c>
      <c r="R62" s="58">
        <f t="shared" si="5"/>
        <v>0</v>
      </c>
      <c r="S62" s="5"/>
      <c r="T62" s="6"/>
      <c r="U62" s="7"/>
      <c r="V62" s="8"/>
      <c r="W62" s="8"/>
      <c r="X62" s="47"/>
      <c r="Y62" s="13"/>
      <c r="Z62" s="57"/>
    </row>
    <row r="63" spans="2:26" x14ac:dyDescent="0.35">
      <c r="B63" s="5">
        <v>46262</v>
      </c>
      <c r="C63" s="6" t="s">
        <v>119</v>
      </c>
      <c r="D63" s="7" t="s">
        <v>6</v>
      </c>
      <c r="E63" s="8" t="s">
        <v>71</v>
      </c>
      <c r="F63" s="8" t="s">
        <v>69</v>
      </c>
      <c r="G63" s="24"/>
      <c r="H63" s="13">
        <f t="shared" si="0"/>
        <v>0</v>
      </c>
      <c r="I63" s="20">
        <v>0</v>
      </c>
      <c r="J63" s="16">
        <f t="shared" si="4"/>
        <v>9.2499999999999995E-3</v>
      </c>
      <c r="K63" s="10" t="s">
        <v>31</v>
      </c>
      <c r="L63" s="11" t="s">
        <v>32</v>
      </c>
      <c r="M63" s="31">
        <v>1004.1712263414634</v>
      </c>
      <c r="N63" s="32"/>
      <c r="O63" s="12">
        <f t="shared" si="2"/>
        <v>1151.7574224548246</v>
      </c>
      <c r="P63" s="66" t="s">
        <v>195</v>
      </c>
      <c r="R63" s="58">
        <f t="shared" si="5"/>
        <v>0</v>
      </c>
      <c r="S63" s="5"/>
      <c r="T63" s="6"/>
      <c r="U63" s="7"/>
      <c r="V63" s="8"/>
      <c r="W63" s="8"/>
      <c r="X63" s="47"/>
      <c r="Y63" s="13"/>
      <c r="Z63" s="57"/>
    </row>
    <row r="64" spans="2:26" x14ac:dyDescent="0.35">
      <c r="B64" s="5">
        <v>46262</v>
      </c>
      <c r="C64" s="6" t="s">
        <v>116</v>
      </c>
      <c r="D64" s="7" t="s">
        <v>6</v>
      </c>
      <c r="E64" s="8" t="s">
        <v>71</v>
      </c>
      <c r="F64" s="8" t="s">
        <v>69</v>
      </c>
      <c r="G64" s="24"/>
      <c r="H64" s="13">
        <f t="shared" si="0"/>
        <v>0</v>
      </c>
      <c r="I64" s="20">
        <v>0</v>
      </c>
      <c r="J64" s="16">
        <f t="shared" si="4"/>
        <v>9.2499999999999995E-3</v>
      </c>
      <c r="K64" s="10" t="s">
        <v>31</v>
      </c>
      <c r="L64" s="11" t="s">
        <v>32</v>
      </c>
      <c r="M64" s="31">
        <v>1089.880593495935</v>
      </c>
      <c r="N64" s="32"/>
      <c r="O64" s="12">
        <f t="shared" si="2"/>
        <v>1250.0637642464787</v>
      </c>
      <c r="P64" s="66" t="s">
        <v>195</v>
      </c>
      <c r="R64" s="58">
        <f t="shared" si="5"/>
        <v>0</v>
      </c>
      <c r="S64" s="5"/>
      <c r="T64" s="6"/>
      <c r="U64" s="7"/>
      <c r="V64" s="8"/>
      <c r="W64" s="8"/>
      <c r="X64" s="47"/>
      <c r="Y64" s="13"/>
      <c r="Z64" s="57"/>
    </row>
    <row r="65" spans="2:26" x14ac:dyDescent="0.35">
      <c r="B65" s="5">
        <v>46262</v>
      </c>
      <c r="C65" s="6" t="s">
        <v>117</v>
      </c>
      <c r="D65" s="7" t="s">
        <v>6</v>
      </c>
      <c r="E65" s="8" t="s">
        <v>71</v>
      </c>
      <c r="F65" s="8" t="s">
        <v>69</v>
      </c>
      <c r="G65" s="24"/>
      <c r="H65" s="13">
        <f t="shared" si="0"/>
        <v>0</v>
      </c>
      <c r="I65" s="20">
        <v>0</v>
      </c>
      <c r="J65" s="16">
        <f t="shared" si="4"/>
        <v>9.2499999999999995E-3</v>
      </c>
      <c r="K65" s="10" t="s">
        <v>31</v>
      </c>
      <c r="L65" s="11" t="s">
        <v>32</v>
      </c>
      <c r="M65" s="31">
        <v>942.9343300813008</v>
      </c>
      <c r="N65" s="32"/>
      <c r="O65" s="12">
        <f t="shared" si="2"/>
        <v>1081.5203473967158</v>
      </c>
      <c r="P65" s="66" t="s">
        <v>195</v>
      </c>
      <c r="R65" s="58">
        <f t="shared" si="5"/>
        <v>0</v>
      </c>
      <c r="S65" s="5"/>
      <c r="T65" s="6"/>
      <c r="U65" s="7"/>
      <c r="V65" s="8"/>
      <c r="W65" s="8"/>
      <c r="X65" s="47"/>
      <c r="Y65" s="13"/>
      <c r="Z65" s="57"/>
    </row>
    <row r="66" spans="2:26" x14ac:dyDescent="0.35">
      <c r="B66" s="5">
        <v>46262</v>
      </c>
      <c r="C66" s="6" t="s">
        <v>115</v>
      </c>
      <c r="D66" s="7" t="s">
        <v>6</v>
      </c>
      <c r="E66" s="8" t="s">
        <v>71</v>
      </c>
      <c r="F66" s="8" t="s">
        <v>69</v>
      </c>
      <c r="G66" s="24"/>
      <c r="H66" s="13">
        <f t="shared" si="0"/>
        <v>0</v>
      </c>
      <c r="I66" s="20">
        <v>0</v>
      </c>
      <c r="J66" s="16">
        <f t="shared" si="4"/>
        <v>9.2499999999999995E-3</v>
      </c>
      <c r="K66" s="10" t="s">
        <v>31</v>
      </c>
      <c r="L66" s="11" t="s">
        <v>32</v>
      </c>
      <c r="M66" s="31">
        <v>891.34357886178839</v>
      </c>
      <c r="N66" s="32"/>
      <c r="O66" s="12">
        <f t="shared" si="2"/>
        <v>1022.3471415844153</v>
      </c>
      <c r="P66" s="66" t="s">
        <v>195</v>
      </c>
      <c r="R66" s="58">
        <f t="shared" si="5"/>
        <v>0</v>
      </c>
      <c r="S66" s="5"/>
      <c r="T66" s="6"/>
      <c r="U66" s="7"/>
      <c r="V66" s="8"/>
      <c r="W66" s="8"/>
      <c r="X66" s="47"/>
      <c r="Y66" s="13"/>
      <c r="Z66" s="57"/>
    </row>
    <row r="67" spans="2:26" x14ac:dyDescent="0.35">
      <c r="B67" s="5">
        <v>46262</v>
      </c>
      <c r="C67" s="6" t="s">
        <v>120</v>
      </c>
      <c r="D67" s="7" t="s">
        <v>7</v>
      </c>
      <c r="E67" s="8" t="s">
        <v>71</v>
      </c>
      <c r="F67" s="8" t="s">
        <v>69</v>
      </c>
      <c r="G67" s="24"/>
      <c r="H67" s="13">
        <f t="shared" ref="H67:H130" si="6">((G67))*(1-I67)*(1-J67)-N67</f>
        <v>0</v>
      </c>
      <c r="I67" s="9">
        <v>0.12</v>
      </c>
      <c r="J67" s="16">
        <f t="shared" ref="J67:J74" si="7">9.25%*10%</f>
        <v>9.2499999999999995E-3</v>
      </c>
      <c r="K67" s="10" t="s">
        <v>31</v>
      </c>
      <c r="L67" s="11" t="s">
        <v>32</v>
      </c>
      <c r="M67" s="31">
        <v>911.61348455284553</v>
      </c>
      <c r="N67" s="32"/>
      <c r="O67" s="12">
        <f t="shared" ref="O67:O130" si="8">IF(I67=0,((G67+M67-N67)/(1-J67))/0.88,(G67+M67-N67))</f>
        <v>911.61348455284553</v>
      </c>
      <c r="P67" s="66" t="s">
        <v>195</v>
      </c>
      <c r="R67" s="58">
        <f t="shared" si="5"/>
        <v>0</v>
      </c>
      <c r="S67" s="5"/>
      <c r="T67" s="6"/>
      <c r="U67" s="7"/>
      <c r="V67" s="8"/>
      <c r="W67" s="8"/>
      <c r="X67" s="47"/>
      <c r="Y67" s="13"/>
      <c r="Z67" s="57"/>
    </row>
    <row r="68" spans="2:26" x14ac:dyDescent="0.35">
      <c r="B68" s="5">
        <v>46262</v>
      </c>
      <c r="C68" s="6" t="s">
        <v>114</v>
      </c>
      <c r="D68" s="7" t="s">
        <v>5</v>
      </c>
      <c r="E68" s="8" t="s">
        <v>188</v>
      </c>
      <c r="F68" s="28" t="s">
        <v>189</v>
      </c>
      <c r="G68" s="24"/>
      <c r="H68" s="13">
        <f t="shared" si="6"/>
        <v>0</v>
      </c>
      <c r="I68" s="20">
        <v>0</v>
      </c>
      <c r="J68" s="16">
        <f t="shared" si="7"/>
        <v>9.2499999999999995E-3</v>
      </c>
      <c r="K68" s="10" t="s">
        <v>31</v>
      </c>
      <c r="L68" s="11" t="s">
        <v>54</v>
      </c>
      <c r="M68" s="31">
        <v>662.70499512195113</v>
      </c>
      <c r="N68" s="31"/>
      <c r="O68" s="12">
        <f t="shared" si="8"/>
        <v>760.10482774981199</v>
      </c>
      <c r="P68" s="66" t="s">
        <v>195</v>
      </c>
      <c r="R68" s="58"/>
      <c r="S68" s="5"/>
      <c r="T68" s="6"/>
      <c r="U68" s="7"/>
      <c r="V68" s="8"/>
      <c r="W68" s="8"/>
      <c r="X68" s="47"/>
      <c r="Y68" s="13"/>
      <c r="Z68" s="57"/>
    </row>
    <row r="69" spans="2:26" x14ac:dyDescent="0.35">
      <c r="B69" s="5">
        <v>46262</v>
      </c>
      <c r="C69" s="6" t="s">
        <v>121</v>
      </c>
      <c r="D69" s="7" t="s">
        <v>3</v>
      </c>
      <c r="E69" s="15" t="s">
        <v>63</v>
      </c>
      <c r="F69" s="8" t="s">
        <v>62</v>
      </c>
      <c r="G69" s="24"/>
      <c r="H69" s="13">
        <f t="shared" si="6"/>
        <v>0</v>
      </c>
      <c r="I69" s="20">
        <v>0</v>
      </c>
      <c r="J69" s="16">
        <f t="shared" si="7"/>
        <v>9.2499999999999995E-3</v>
      </c>
      <c r="K69" s="10" t="s">
        <v>31</v>
      </c>
      <c r="L69" s="10" t="s">
        <v>32</v>
      </c>
      <c r="M69" s="31">
        <v>243.357521300813</v>
      </c>
      <c r="N69" s="31"/>
      <c r="O69" s="12">
        <f t="shared" si="8"/>
        <v>279.12453983530958</v>
      </c>
      <c r="P69" s="66" t="s">
        <v>183</v>
      </c>
      <c r="R69" s="58">
        <f t="shared" ref="R69:R100" si="9">IFERROR(H69/Y69-1,0)</f>
        <v>0</v>
      </c>
      <c r="S69" s="5"/>
      <c r="T69" s="6"/>
      <c r="U69" s="7"/>
      <c r="V69" s="8"/>
      <c r="W69" s="8"/>
      <c r="X69" s="47"/>
      <c r="Y69" s="13"/>
      <c r="Z69" s="57"/>
    </row>
    <row r="70" spans="2:26" x14ac:dyDescent="0.35">
      <c r="B70" s="5">
        <v>46262</v>
      </c>
      <c r="C70" s="6" t="s">
        <v>122</v>
      </c>
      <c r="D70" s="7" t="s">
        <v>3</v>
      </c>
      <c r="E70" s="15" t="s">
        <v>63</v>
      </c>
      <c r="F70" s="8" t="s">
        <v>62</v>
      </c>
      <c r="G70" s="24"/>
      <c r="H70" s="13">
        <f t="shared" si="6"/>
        <v>0</v>
      </c>
      <c r="I70" s="20">
        <v>0</v>
      </c>
      <c r="J70" s="16">
        <f t="shared" si="7"/>
        <v>9.2499999999999995E-3</v>
      </c>
      <c r="K70" s="10" t="s">
        <v>31</v>
      </c>
      <c r="L70" s="10" t="s">
        <v>32</v>
      </c>
      <c r="M70" s="33">
        <v>240.83857951219514</v>
      </c>
      <c r="N70" s="31"/>
      <c r="O70" s="12">
        <f t="shared" si="8"/>
        <v>276.23538126785854</v>
      </c>
      <c r="P70" s="66" t="s">
        <v>183</v>
      </c>
      <c r="R70" s="58">
        <f t="shared" si="9"/>
        <v>0</v>
      </c>
      <c r="S70" s="5"/>
      <c r="T70" s="6"/>
      <c r="U70" s="7"/>
      <c r="V70" s="8"/>
      <c r="W70" s="8"/>
      <c r="X70" s="47"/>
      <c r="Y70" s="13"/>
      <c r="Z70" s="57"/>
    </row>
    <row r="71" spans="2:26" x14ac:dyDescent="0.35">
      <c r="B71" s="5">
        <v>46262</v>
      </c>
      <c r="C71" s="6" t="s">
        <v>123</v>
      </c>
      <c r="D71" s="7" t="s">
        <v>3</v>
      </c>
      <c r="E71" s="15" t="s">
        <v>63</v>
      </c>
      <c r="F71" s="8" t="s">
        <v>62</v>
      </c>
      <c r="G71" s="24"/>
      <c r="H71" s="13">
        <f t="shared" si="6"/>
        <v>0</v>
      </c>
      <c r="I71" s="20">
        <v>0</v>
      </c>
      <c r="J71" s="16">
        <f t="shared" si="7"/>
        <v>9.2499999999999995E-3</v>
      </c>
      <c r="K71" s="10" t="s">
        <v>31</v>
      </c>
      <c r="L71" s="10" t="s">
        <v>32</v>
      </c>
      <c r="M71" s="31">
        <v>324.29597008130082</v>
      </c>
      <c r="N71" s="31"/>
      <c r="O71" s="12">
        <f t="shared" si="8"/>
        <v>371.95876640894272</v>
      </c>
      <c r="P71" s="66" t="s">
        <v>183</v>
      </c>
      <c r="R71" s="58">
        <f t="shared" si="9"/>
        <v>0</v>
      </c>
      <c r="S71" s="5"/>
      <c r="T71" s="6"/>
      <c r="U71" s="7"/>
      <c r="V71" s="8"/>
      <c r="W71" s="8"/>
      <c r="X71" s="47"/>
      <c r="Y71" s="13"/>
      <c r="Z71" s="57"/>
    </row>
    <row r="72" spans="2:26" x14ac:dyDescent="0.35">
      <c r="B72" s="5">
        <v>46262</v>
      </c>
      <c r="C72" s="6" t="s">
        <v>97</v>
      </c>
      <c r="D72" s="7" t="s">
        <v>4</v>
      </c>
      <c r="E72" s="15" t="s">
        <v>167</v>
      </c>
      <c r="F72" s="8" t="s">
        <v>139</v>
      </c>
      <c r="G72" s="24"/>
      <c r="H72" s="13">
        <f t="shared" si="6"/>
        <v>0</v>
      </c>
      <c r="I72" s="20">
        <v>0</v>
      </c>
      <c r="J72" s="16">
        <f t="shared" si="7"/>
        <v>9.2499999999999995E-3</v>
      </c>
      <c r="K72" s="10" t="s">
        <v>31</v>
      </c>
      <c r="L72" s="10" t="s">
        <v>32</v>
      </c>
      <c r="M72" s="31">
        <v>493.74063902439019</v>
      </c>
      <c r="N72" s="36"/>
      <c r="O72" s="12">
        <f t="shared" si="8"/>
        <v>566.30725004517956</v>
      </c>
      <c r="P72" s="66" t="s">
        <v>169</v>
      </c>
      <c r="R72" s="58">
        <f t="shared" si="9"/>
        <v>0</v>
      </c>
      <c r="S72" s="5"/>
      <c r="T72" s="6"/>
      <c r="U72" s="7"/>
      <c r="V72" s="8"/>
      <c r="W72" s="8"/>
      <c r="X72" s="47"/>
      <c r="Y72" s="13"/>
      <c r="Z72" s="57"/>
    </row>
    <row r="73" spans="2:26" x14ac:dyDescent="0.35">
      <c r="B73" s="5">
        <v>46262</v>
      </c>
      <c r="C73" s="8" t="s">
        <v>98</v>
      </c>
      <c r="D73" s="14" t="s">
        <v>4</v>
      </c>
      <c r="E73" s="15" t="s">
        <v>167</v>
      </c>
      <c r="F73" s="8" t="s">
        <v>139</v>
      </c>
      <c r="G73" s="24"/>
      <c r="H73" s="13">
        <f t="shared" si="6"/>
        <v>0</v>
      </c>
      <c r="I73" s="20">
        <v>0</v>
      </c>
      <c r="J73" s="16">
        <f t="shared" si="7"/>
        <v>9.2499999999999995E-3</v>
      </c>
      <c r="K73" s="10" t="s">
        <v>31</v>
      </c>
      <c r="L73" s="10" t="s">
        <v>32</v>
      </c>
      <c r="M73" s="31">
        <v>489.18180975609749</v>
      </c>
      <c r="N73" s="31"/>
      <c r="O73" s="12">
        <f t="shared" si="8"/>
        <v>561.07839533422509</v>
      </c>
      <c r="P73" s="66" t="s">
        <v>169</v>
      </c>
      <c r="R73" s="58">
        <f t="shared" si="9"/>
        <v>0</v>
      </c>
      <c r="S73" s="5"/>
      <c r="T73" s="6"/>
      <c r="U73" s="7"/>
      <c r="V73" s="8"/>
      <c r="W73" s="8"/>
      <c r="X73" s="47"/>
      <c r="Y73" s="13"/>
      <c r="Z73" s="57"/>
    </row>
    <row r="74" spans="2:26" x14ac:dyDescent="0.35">
      <c r="B74" s="5">
        <v>46262</v>
      </c>
      <c r="C74" s="6" t="s">
        <v>99</v>
      </c>
      <c r="D74" s="7" t="s">
        <v>4</v>
      </c>
      <c r="E74" s="15" t="s">
        <v>167</v>
      </c>
      <c r="F74" s="8" t="s">
        <v>139</v>
      </c>
      <c r="G74" s="24"/>
      <c r="H74" s="13">
        <f t="shared" si="6"/>
        <v>0</v>
      </c>
      <c r="I74" s="20">
        <v>0</v>
      </c>
      <c r="J74" s="16">
        <f t="shared" si="7"/>
        <v>9.2499999999999995E-3</v>
      </c>
      <c r="K74" s="10" t="s">
        <v>31</v>
      </c>
      <c r="L74" s="10" t="s">
        <v>32</v>
      </c>
      <c r="M74" s="31">
        <v>564.75200292682928</v>
      </c>
      <c r="N74" s="36"/>
      <c r="O74" s="12">
        <f t="shared" si="8"/>
        <v>647.75537692614557</v>
      </c>
      <c r="P74" s="66" t="s">
        <v>169</v>
      </c>
      <c r="R74" s="58">
        <f t="shared" si="9"/>
        <v>0</v>
      </c>
      <c r="S74" s="5"/>
      <c r="T74" s="6"/>
      <c r="U74" s="7"/>
      <c r="V74" s="8"/>
      <c r="W74" s="8"/>
      <c r="X74" s="47"/>
      <c r="Y74" s="13"/>
      <c r="Z74" s="57"/>
    </row>
    <row r="75" spans="2:26" x14ac:dyDescent="0.35">
      <c r="B75" s="5">
        <v>46262</v>
      </c>
      <c r="C75" s="6" t="s">
        <v>103</v>
      </c>
      <c r="D75" s="7" t="s">
        <v>1</v>
      </c>
      <c r="E75" s="15" t="s">
        <v>166</v>
      </c>
      <c r="F75" s="8" t="s">
        <v>138</v>
      </c>
      <c r="G75" s="93">
        <v>5600</v>
      </c>
      <c r="H75" s="13">
        <f t="shared" si="6"/>
        <v>5548.2</v>
      </c>
      <c r="I75" s="21">
        <v>0</v>
      </c>
      <c r="J75" s="16">
        <v>9.2499999999999995E-3</v>
      </c>
      <c r="K75" s="10" t="s">
        <v>31</v>
      </c>
      <c r="L75" s="10" t="s">
        <v>32</v>
      </c>
      <c r="M75" s="31">
        <v>583.38495121951212</v>
      </c>
      <c r="N75" s="31"/>
      <c r="O75" s="12">
        <f t="shared" si="8"/>
        <v>7092.1764402765493</v>
      </c>
      <c r="P75" s="66"/>
      <c r="R75" s="58">
        <f t="shared" si="9"/>
        <v>0</v>
      </c>
      <c r="S75" s="5"/>
      <c r="T75" s="6"/>
      <c r="U75" s="7"/>
      <c r="V75" s="8"/>
      <c r="W75" s="8"/>
      <c r="X75" s="47"/>
      <c r="Y75" s="13"/>
      <c r="Z75" s="57"/>
    </row>
    <row r="76" spans="2:26" x14ac:dyDescent="0.35">
      <c r="B76" s="5">
        <v>46262</v>
      </c>
      <c r="C76" s="6" t="s">
        <v>105</v>
      </c>
      <c r="D76" s="7" t="s">
        <v>1</v>
      </c>
      <c r="E76" s="15" t="s">
        <v>166</v>
      </c>
      <c r="F76" s="8" t="s">
        <v>138</v>
      </c>
      <c r="G76" s="93">
        <v>5600</v>
      </c>
      <c r="H76" s="13">
        <f t="shared" si="6"/>
        <v>5548.2</v>
      </c>
      <c r="I76" s="21">
        <v>0</v>
      </c>
      <c r="J76" s="16">
        <v>9.2499999999999995E-3</v>
      </c>
      <c r="K76" s="10" t="s">
        <v>31</v>
      </c>
      <c r="L76" s="10" t="s">
        <v>32</v>
      </c>
      <c r="M76" s="31">
        <v>608.76454471544707</v>
      </c>
      <c r="N76" s="31"/>
      <c r="O76" s="12">
        <f t="shared" si="8"/>
        <v>7121.2861522669318</v>
      </c>
      <c r="P76" s="66"/>
      <c r="R76" s="58">
        <f t="shared" si="9"/>
        <v>0</v>
      </c>
      <c r="S76" s="5"/>
      <c r="T76" s="6"/>
      <c r="U76" s="7"/>
      <c r="V76" s="8"/>
      <c r="W76" s="8"/>
      <c r="X76" s="47"/>
      <c r="Y76" s="13"/>
      <c r="Z76" s="57"/>
    </row>
    <row r="77" spans="2:26" x14ac:dyDescent="0.35">
      <c r="B77" s="5">
        <v>46262</v>
      </c>
      <c r="C77" s="6" t="s">
        <v>104</v>
      </c>
      <c r="D77" s="7" t="s">
        <v>1</v>
      </c>
      <c r="E77" s="15" t="s">
        <v>166</v>
      </c>
      <c r="F77" s="8" t="s">
        <v>138</v>
      </c>
      <c r="G77" s="93">
        <v>5600</v>
      </c>
      <c r="H77" s="13">
        <f t="shared" si="6"/>
        <v>5548.2</v>
      </c>
      <c r="I77" s="21">
        <v>0</v>
      </c>
      <c r="J77" s="16">
        <v>9.2499999999999995E-3</v>
      </c>
      <c r="K77" s="10" t="s">
        <v>31</v>
      </c>
      <c r="L77" s="10" t="s">
        <v>32</v>
      </c>
      <c r="M77" s="31">
        <v>786.43704585365845</v>
      </c>
      <c r="N77" s="31"/>
      <c r="O77" s="12">
        <f t="shared" si="8"/>
        <v>7325.0717384140326</v>
      </c>
      <c r="P77" s="66"/>
      <c r="R77" s="58">
        <f t="shared" si="9"/>
        <v>0</v>
      </c>
      <c r="S77" s="5"/>
      <c r="T77" s="6"/>
      <c r="U77" s="7"/>
      <c r="V77" s="8"/>
      <c r="W77" s="8"/>
      <c r="X77" s="47"/>
      <c r="Y77" s="13"/>
      <c r="Z77" s="57"/>
    </row>
    <row r="78" spans="2:26" x14ac:dyDescent="0.35">
      <c r="B78" s="5">
        <v>46262</v>
      </c>
      <c r="C78" s="6" t="s">
        <v>109</v>
      </c>
      <c r="D78" s="7" t="s">
        <v>1</v>
      </c>
      <c r="E78" s="15" t="s">
        <v>166</v>
      </c>
      <c r="F78" s="8" t="s">
        <v>138</v>
      </c>
      <c r="G78" s="93">
        <v>5600</v>
      </c>
      <c r="H78" s="13">
        <f t="shared" si="6"/>
        <v>5548.2</v>
      </c>
      <c r="I78" s="21">
        <v>0</v>
      </c>
      <c r="J78" s="16">
        <v>9.2499999999999995E-3</v>
      </c>
      <c r="K78" s="10" t="s">
        <v>31</v>
      </c>
      <c r="L78" s="10" t="s">
        <v>32</v>
      </c>
      <c r="M78" s="31">
        <v>836.82715447154465</v>
      </c>
      <c r="N78" s="31"/>
      <c r="O78" s="12">
        <f t="shared" si="8"/>
        <v>7382.8678394140616</v>
      </c>
      <c r="P78" s="66"/>
      <c r="R78" s="58">
        <f t="shared" si="9"/>
        <v>0</v>
      </c>
      <c r="S78" s="5"/>
      <c r="T78" s="6"/>
      <c r="U78" s="7"/>
      <c r="V78" s="8"/>
      <c r="W78" s="8"/>
      <c r="X78" s="47"/>
      <c r="Y78" s="13"/>
      <c r="Z78" s="57"/>
    </row>
    <row r="79" spans="2:26" x14ac:dyDescent="0.35">
      <c r="B79" s="5">
        <v>46262</v>
      </c>
      <c r="C79" s="6" t="s">
        <v>107</v>
      </c>
      <c r="D79" s="7" t="s">
        <v>1</v>
      </c>
      <c r="E79" s="15" t="s">
        <v>166</v>
      </c>
      <c r="F79" s="8" t="s">
        <v>138</v>
      </c>
      <c r="G79" s="93">
        <v>5600</v>
      </c>
      <c r="H79" s="13">
        <f t="shared" si="6"/>
        <v>5548.2</v>
      </c>
      <c r="I79" s="21">
        <v>0</v>
      </c>
      <c r="J79" s="16">
        <v>9.2499999999999995E-3</v>
      </c>
      <c r="K79" s="10" t="s">
        <v>31</v>
      </c>
      <c r="L79" s="10" t="s">
        <v>32</v>
      </c>
      <c r="M79" s="31">
        <v>876.56072845528456</v>
      </c>
      <c r="N79" s="31"/>
      <c r="O79" s="12">
        <f t="shared" si="8"/>
        <v>7428.4411814457417</v>
      </c>
      <c r="P79" s="66"/>
      <c r="R79" s="58">
        <f t="shared" si="9"/>
        <v>0</v>
      </c>
      <c r="S79" s="5"/>
      <c r="T79" s="6"/>
      <c r="U79" s="7"/>
      <c r="V79" s="8"/>
      <c r="W79" s="8"/>
      <c r="X79" s="47"/>
      <c r="Y79" s="13"/>
      <c r="Z79" s="57"/>
    </row>
    <row r="80" spans="2:26" x14ac:dyDescent="0.35">
      <c r="B80" s="5">
        <v>46262</v>
      </c>
      <c r="C80" s="6" t="s">
        <v>106</v>
      </c>
      <c r="D80" s="7" t="s">
        <v>1</v>
      </c>
      <c r="E80" s="15" t="s">
        <v>166</v>
      </c>
      <c r="F80" s="8" t="s">
        <v>138</v>
      </c>
      <c r="G80" s="93">
        <v>5600</v>
      </c>
      <c r="H80" s="13">
        <f t="shared" si="6"/>
        <v>5548.2</v>
      </c>
      <c r="I80" s="21">
        <v>0</v>
      </c>
      <c r="J80" s="16">
        <v>9.2499999999999995E-3</v>
      </c>
      <c r="K80" s="10" t="s">
        <v>31</v>
      </c>
      <c r="L80" s="10" t="s">
        <v>32</v>
      </c>
      <c r="M80" s="31">
        <v>939.24825951219509</v>
      </c>
      <c r="N80" s="31"/>
      <c r="O80" s="12">
        <f t="shared" si="8"/>
        <v>7500.342095648607</v>
      </c>
      <c r="P80" s="66"/>
      <c r="R80" s="58">
        <f t="shared" si="9"/>
        <v>0</v>
      </c>
      <c r="S80" s="5"/>
      <c r="T80" s="6"/>
      <c r="U80" s="7"/>
      <c r="V80" s="8"/>
      <c r="W80" s="8"/>
      <c r="X80" s="47"/>
      <c r="Y80" s="13"/>
      <c r="Z80" s="57"/>
    </row>
    <row r="81" spans="2:26" x14ac:dyDescent="0.35">
      <c r="B81" s="5">
        <v>46262</v>
      </c>
      <c r="C81" s="6" t="s">
        <v>111</v>
      </c>
      <c r="D81" s="7" t="s">
        <v>1</v>
      </c>
      <c r="E81" s="15" t="s">
        <v>166</v>
      </c>
      <c r="F81" s="8" t="s">
        <v>138</v>
      </c>
      <c r="G81" s="93">
        <v>5600</v>
      </c>
      <c r="H81" s="13">
        <f t="shared" si="6"/>
        <v>5548.2</v>
      </c>
      <c r="I81" s="21">
        <v>0</v>
      </c>
      <c r="J81" s="16">
        <v>9.2499999999999995E-3</v>
      </c>
      <c r="K81" s="10" t="s">
        <v>31</v>
      </c>
      <c r="L81" s="10" t="s">
        <v>32</v>
      </c>
      <c r="M81" s="31">
        <v>965.39140357723568</v>
      </c>
      <c r="N81" s="31"/>
      <c r="O81" s="12">
        <f t="shared" si="8"/>
        <v>7530.3275796311736</v>
      </c>
      <c r="P81" s="66"/>
      <c r="R81" s="58">
        <f t="shared" si="9"/>
        <v>0</v>
      </c>
      <c r="S81" s="5"/>
      <c r="T81" s="6"/>
      <c r="U81" s="7"/>
      <c r="V81" s="8"/>
      <c r="W81" s="8"/>
      <c r="X81" s="47"/>
      <c r="Y81" s="13"/>
      <c r="Z81" s="57"/>
    </row>
    <row r="82" spans="2:26" x14ac:dyDescent="0.35">
      <c r="B82" s="5">
        <v>46262</v>
      </c>
      <c r="C82" s="6" t="s">
        <v>108</v>
      </c>
      <c r="D82" s="7" t="s">
        <v>1</v>
      </c>
      <c r="E82" s="15" t="s">
        <v>166</v>
      </c>
      <c r="F82" s="8" t="s">
        <v>138</v>
      </c>
      <c r="G82" s="93">
        <v>5600</v>
      </c>
      <c r="H82" s="13">
        <f t="shared" si="6"/>
        <v>5548.2</v>
      </c>
      <c r="I82" s="21">
        <v>0</v>
      </c>
      <c r="J82" s="16">
        <v>9.2499999999999995E-3</v>
      </c>
      <c r="K82" s="10" t="s">
        <v>31</v>
      </c>
      <c r="L82" s="10" t="s">
        <v>32</v>
      </c>
      <c r="M82" s="31">
        <v>994.64974569105698</v>
      </c>
      <c r="N82" s="31"/>
      <c r="O82" s="12">
        <f t="shared" si="8"/>
        <v>7563.8861120948968</v>
      </c>
      <c r="P82" s="66"/>
      <c r="R82" s="58">
        <f t="shared" si="9"/>
        <v>0</v>
      </c>
      <c r="S82" s="5"/>
      <c r="T82" s="6"/>
      <c r="U82" s="7"/>
      <c r="V82" s="8"/>
      <c r="W82" s="8"/>
      <c r="X82" s="47"/>
      <c r="Y82" s="13"/>
      <c r="Z82" s="57"/>
    </row>
    <row r="83" spans="2:26" x14ac:dyDescent="0.35">
      <c r="B83" s="5">
        <v>46262</v>
      </c>
      <c r="C83" s="6" t="s">
        <v>110</v>
      </c>
      <c r="D83" s="7" t="s">
        <v>1</v>
      </c>
      <c r="E83" s="15" t="s">
        <v>166</v>
      </c>
      <c r="F83" s="8" t="s">
        <v>138</v>
      </c>
      <c r="G83" s="93">
        <v>5600</v>
      </c>
      <c r="H83" s="13">
        <f t="shared" si="6"/>
        <v>5548.2</v>
      </c>
      <c r="I83" s="21">
        <v>0</v>
      </c>
      <c r="J83" s="16">
        <v>9.2499999999999995E-3</v>
      </c>
      <c r="K83" s="10" t="s">
        <v>31</v>
      </c>
      <c r="L83" s="10" t="s">
        <v>32</v>
      </c>
      <c r="M83" s="31">
        <v>866.50006796747971</v>
      </c>
      <c r="N83" s="31"/>
      <c r="O83" s="12">
        <f t="shared" si="8"/>
        <v>7416.9018741168065</v>
      </c>
      <c r="P83" s="66"/>
      <c r="R83" s="58">
        <f t="shared" si="9"/>
        <v>0</v>
      </c>
      <c r="S83" s="5"/>
      <c r="T83" s="6"/>
      <c r="U83" s="7"/>
      <c r="V83" s="8"/>
      <c r="W83" s="8"/>
      <c r="X83" s="47"/>
      <c r="Y83" s="13"/>
      <c r="Z83" s="57"/>
    </row>
    <row r="84" spans="2:26" x14ac:dyDescent="0.35">
      <c r="B84" s="5">
        <v>46262</v>
      </c>
      <c r="C84" s="6" t="s">
        <v>120</v>
      </c>
      <c r="D84" s="7" t="s">
        <v>7</v>
      </c>
      <c r="E84" s="15" t="s">
        <v>165</v>
      </c>
      <c r="F84" s="8" t="s">
        <v>137</v>
      </c>
      <c r="G84" s="93">
        <v>5300</v>
      </c>
      <c r="H84" s="13">
        <f t="shared" si="6"/>
        <v>5250.9750000000004</v>
      </c>
      <c r="I84" s="20">
        <v>0</v>
      </c>
      <c r="J84" s="16">
        <f t="shared" ref="J84:J96" si="10">9.25%*10%</f>
        <v>9.2499999999999995E-3</v>
      </c>
      <c r="K84" s="10" t="s">
        <v>31</v>
      </c>
      <c r="L84" s="10" t="s">
        <v>32</v>
      </c>
      <c r="M84" s="34">
        <v>911.61348455284553</v>
      </c>
      <c r="N84" s="43"/>
      <c r="O84" s="12">
        <f t="shared" si="8"/>
        <v>7124.5538097318895</v>
      </c>
      <c r="P84" s="66"/>
      <c r="R84" s="58">
        <f t="shared" si="9"/>
        <v>0</v>
      </c>
      <c r="S84" s="5"/>
      <c r="T84" s="6"/>
      <c r="U84" s="7"/>
      <c r="V84" s="8"/>
      <c r="W84" s="8"/>
      <c r="X84" s="47"/>
      <c r="Y84" s="13"/>
      <c r="Z84" s="57"/>
    </row>
    <row r="85" spans="2:26" x14ac:dyDescent="0.35">
      <c r="B85" s="5">
        <v>46262</v>
      </c>
      <c r="C85" s="6" t="s">
        <v>104</v>
      </c>
      <c r="D85" s="7" t="s">
        <v>1</v>
      </c>
      <c r="E85" s="8" t="s">
        <v>133</v>
      </c>
      <c r="F85" s="8" t="s">
        <v>43</v>
      </c>
      <c r="G85" s="93">
        <v>5500</v>
      </c>
      <c r="H85" s="13">
        <f t="shared" si="6"/>
        <v>5299.3050000000003</v>
      </c>
      <c r="I85" s="21">
        <v>0</v>
      </c>
      <c r="J85" s="16">
        <f t="shared" si="10"/>
        <v>9.2499999999999995E-3</v>
      </c>
      <c r="K85" s="10" t="s">
        <v>18</v>
      </c>
      <c r="L85" s="10" t="s">
        <v>28</v>
      </c>
      <c r="M85" s="31">
        <v>786.43704585365845</v>
      </c>
      <c r="N85" s="31">
        <v>149.82</v>
      </c>
      <c r="O85" s="12">
        <f t="shared" si="8"/>
        <v>7038.5349091065746</v>
      </c>
      <c r="P85" s="66"/>
      <c r="R85" s="58">
        <f t="shared" si="9"/>
        <v>0</v>
      </c>
      <c r="S85" s="5"/>
      <c r="T85" s="6"/>
      <c r="U85" s="7"/>
      <c r="V85" s="8"/>
      <c r="W85" s="8"/>
      <c r="X85" s="47"/>
      <c r="Y85" s="13"/>
      <c r="Z85" s="57"/>
    </row>
    <row r="86" spans="2:26" x14ac:dyDescent="0.35">
      <c r="B86" s="5">
        <v>46262</v>
      </c>
      <c r="C86" s="6" t="s">
        <v>109</v>
      </c>
      <c r="D86" s="7" t="s">
        <v>1</v>
      </c>
      <c r="E86" s="8" t="s">
        <v>133</v>
      </c>
      <c r="F86" s="8" t="s">
        <v>43</v>
      </c>
      <c r="G86" s="93">
        <v>5500</v>
      </c>
      <c r="H86" s="13">
        <f t="shared" si="6"/>
        <v>5256.8950000000004</v>
      </c>
      <c r="I86" s="21">
        <v>0</v>
      </c>
      <c r="J86" s="16">
        <f t="shared" si="10"/>
        <v>9.2499999999999995E-3</v>
      </c>
      <c r="K86" s="10" t="s">
        <v>18</v>
      </c>
      <c r="L86" s="10" t="s">
        <v>28</v>
      </c>
      <c r="M86" s="31">
        <v>836.82715447154465</v>
      </c>
      <c r="N86" s="31">
        <v>192.23</v>
      </c>
      <c r="O86" s="12">
        <f t="shared" si="8"/>
        <v>7047.6878793287278</v>
      </c>
      <c r="P86" s="66"/>
      <c r="R86" s="58">
        <f t="shared" si="9"/>
        <v>0</v>
      </c>
      <c r="S86" s="5"/>
      <c r="T86" s="6"/>
      <c r="U86" s="7"/>
      <c r="V86" s="8"/>
      <c r="W86" s="8"/>
      <c r="X86" s="47"/>
      <c r="Y86" s="13"/>
      <c r="Z86" s="57"/>
    </row>
    <row r="87" spans="2:26" x14ac:dyDescent="0.35">
      <c r="B87" s="5">
        <v>46262</v>
      </c>
      <c r="C87" s="6" t="s">
        <v>107</v>
      </c>
      <c r="D87" s="7" t="s">
        <v>1</v>
      </c>
      <c r="E87" s="8" t="s">
        <v>133</v>
      </c>
      <c r="F87" s="8" t="s">
        <v>43</v>
      </c>
      <c r="G87" s="93">
        <v>5500</v>
      </c>
      <c r="H87" s="13">
        <f t="shared" si="6"/>
        <v>5219.0749999999998</v>
      </c>
      <c r="I87" s="21">
        <v>0</v>
      </c>
      <c r="J87" s="16">
        <f t="shared" si="10"/>
        <v>9.2499999999999995E-3</v>
      </c>
      <c r="K87" s="10" t="s">
        <v>18</v>
      </c>
      <c r="L87" s="10" t="s">
        <v>28</v>
      </c>
      <c r="M87" s="31">
        <v>876.56072845528456</v>
      </c>
      <c r="N87" s="31">
        <v>230.05</v>
      </c>
      <c r="O87" s="12">
        <f t="shared" si="8"/>
        <v>7049.8826972854404</v>
      </c>
      <c r="P87" s="66"/>
      <c r="R87" s="58">
        <f t="shared" si="9"/>
        <v>0</v>
      </c>
      <c r="S87" s="5"/>
      <c r="T87" s="6"/>
      <c r="U87" s="7"/>
      <c r="V87" s="8"/>
      <c r="W87" s="8"/>
      <c r="X87" s="47"/>
      <c r="Y87" s="13"/>
      <c r="Z87" s="57"/>
    </row>
    <row r="88" spans="2:26" x14ac:dyDescent="0.35">
      <c r="B88" s="5">
        <v>46262</v>
      </c>
      <c r="C88" s="6" t="s">
        <v>103</v>
      </c>
      <c r="D88" s="7" t="s">
        <v>1</v>
      </c>
      <c r="E88" s="8" t="s">
        <v>133</v>
      </c>
      <c r="F88" s="8" t="s">
        <v>43</v>
      </c>
      <c r="G88" s="93">
        <v>5500</v>
      </c>
      <c r="H88" s="13">
        <f t="shared" si="6"/>
        <v>5198.9849999999997</v>
      </c>
      <c r="I88" s="21">
        <v>0</v>
      </c>
      <c r="J88" s="16">
        <f t="shared" si="10"/>
        <v>9.2499999999999995E-3</v>
      </c>
      <c r="K88" s="10" t="s">
        <v>18</v>
      </c>
      <c r="L88" s="10" t="s">
        <v>28</v>
      </c>
      <c r="M88" s="31">
        <v>583.38495121951212</v>
      </c>
      <c r="N88" s="31">
        <v>250.14</v>
      </c>
      <c r="O88" s="12">
        <f t="shared" si="8"/>
        <v>6690.5752657760549</v>
      </c>
      <c r="P88" s="66"/>
      <c r="R88" s="58">
        <f t="shared" si="9"/>
        <v>0</v>
      </c>
      <c r="S88" s="5"/>
      <c r="T88" s="6"/>
      <c r="U88" s="7"/>
      <c r="V88" s="8"/>
      <c r="W88" s="8"/>
      <c r="X88" s="47"/>
      <c r="Y88" s="13"/>
      <c r="Z88" s="57"/>
    </row>
    <row r="89" spans="2:26" x14ac:dyDescent="0.35">
      <c r="B89" s="5">
        <v>46262</v>
      </c>
      <c r="C89" s="6" t="s">
        <v>106</v>
      </c>
      <c r="D89" s="7" t="s">
        <v>1</v>
      </c>
      <c r="E89" s="8" t="s">
        <v>133</v>
      </c>
      <c r="F89" s="8" t="s">
        <v>43</v>
      </c>
      <c r="G89" s="93">
        <v>5500</v>
      </c>
      <c r="H89" s="13">
        <f t="shared" si="6"/>
        <v>5133.625</v>
      </c>
      <c r="I89" s="21">
        <v>0</v>
      </c>
      <c r="J89" s="16">
        <f t="shared" si="10"/>
        <v>9.2499999999999995E-3</v>
      </c>
      <c r="K89" s="10" t="s">
        <v>18</v>
      </c>
      <c r="L89" s="10" t="s">
        <v>28</v>
      </c>
      <c r="M89" s="31">
        <v>939.24825951219509</v>
      </c>
      <c r="N89" s="31">
        <v>315.5</v>
      </c>
      <c r="O89" s="12">
        <f t="shared" si="8"/>
        <v>7023.7747568556815</v>
      </c>
      <c r="P89" s="66"/>
      <c r="R89" s="58">
        <f t="shared" si="9"/>
        <v>0</v>
      </c>
      <c r="S89" s="5"/>
      <c r="T89" s="6"/>
      <c r="U89" s="7"/>
      <c r="V89" s="8"/>
      <c r="W89" s="8"/>
      <c r="X89" s="47"/>
      <c r="Y89" s="13"/>
      <c r="Z89" s="57"/>
    </row>
    <row r="90" spans="2:26" x14ac:dyDescent="0.35">
      <c r="B90" s="5">
        <v>46262</v>
      </c>
      <c r="C90" s="6" t="s">
        <v>105</v>
      </c>
      <c r="D90" s="7" t="s">
        <v>1</v>
      </c>
      <c r="E90" s="8" t="s">
        <v>133</v>
      </c>
      <c r="F90" s="8" t="s">
        <v>43</v>
      </c>
      <c r="G90" s="93">
        <v>5500</v>
      </c>
      <c r="H90" s="13">
        <f t="shared" si="6"/>
        <v>5119.835</v>
      </c>
      <c r="I90" s="21">
        <v>0</v>
      </c>
      <c r="J90" s="16">
        <f t="shared" si="10"/>
        <v>9.2499999999999995E-3</v>
      </c>
      <c r="K90" s="10" t="s">
        <v>18</v>
      </c>
      <c r="L90" s="10" t="s">
        <v>28</v>
      </c>
      <c r="M90" s="31">
        <v>608.76454471544707</v>
      </c>
      <c r="N90" s="31">
        <v>329.29</v>
      </c>
      <c r="O90" s="12">
        <f t="shared" si="8"/>
        <v>6628.9020539025159</v>
      </c>
      <c r="P90" s="66"/>
      <c r="R90" s="58">
        <f t="shared" si="9"/>
        <v>0</v>
      </c>
      <c r="S90" s="5"/>
      <c r="T90" s="6"/>
      <c r="U90" s="7"/>
      <c r="V90" s="8"/>
      <c r="W90" s="8"/>
      <c r="X90" s="47"/>
      <c r="Y90" s="13"/>
      <c r="Z90" s="57"/>
    </row>
    <row r="91" spans="2:26" x14ac:dyDescent="0.35">
      <c r="B91" s="5">
        <v>46262</v>
      </c>
      <c r="C91" s="6" t="s">
        <v>111</v>
      </c>
      <c r="D91" s="7" t="s">
        <v>1</v>
      </c>
      <c r="E91" s="8" t="s">
        <v>133</v>
      </c>
      <c r="F91" s="8" t="s">
        <v>43</v>
      </c>
      <c r="G91" s="93">
        <v>5500</v>
      </c>
      <c r="H91" s="13">
        <f t="shared" si="6"/>
        <v>5106.8649999999998</v>
      </c>
      <c r="I91" s="21">
        <v>0</v>
      </c>
      <c r="J91" s="16">
        <f t="shared" si="10"/>
        <v>9.2499999999999995E-3</v>
      </c>
      <c r="K91" s="10" t="s">
        <v>18</v>
      </c>
      <c r="L91" s="10" t="s">
        <v>28</v>
      </c>
      <c r="M91" s="31">
        <v>965.39140357723568</v>
      </c>
      <c r="N91" s="31">
        <v>342.26</v>
      </c>
      <c r="O91" s="12">
        <f t="shared" si="8"/>
        <v>7023.0672396683367</v>
      </c>
      <c r="P91" s="66"/>
      <c r="R91" s="58">
        <f t="shared" si="9"/>
        <v>0</v>
      </c>
      <c r="S91" s="5"/>
      <c r="T91" s="6"/>
      <c r="U91" s="7"/>
      <c r="V91" s="8"/>
      <c r="W91" s="8"/>
      <c r="X91" s="47"/>
      <c r="Y91" s="13"/>
      <c r="Z91" s="57"/>
    </row>
    <row r="92" spans="2:26" x14ac:dyDescent="0.35">
      <c r="B92" s="5">
        <v>46262</v>
      </c>
      <c r="C92" s="6" t="s">
        <v>108</v>
      </c>
      <c r="D92" s="7" t="s">
        <v>1</v>
      </c>
      <c r="E92" s="8" t="s">
        <v>133</v>
      </c>
      <c r="F92" s="8" t="s">
        <v>43</v>
      </c>
      <c r="G92" s="93">
        <v>5500</v>
      </c>
      <c r="H92" s="13">
        <f t="shared" si="6"/>
        <v>5068.1549999999997</v>
      </c>
      <c r="I92" s="21">
        <v>0</v>
      </c>
      <c r="J92" s="16">
        <f t="shared" si="10"/>
        <v>9.2499999999999995E-3</v>
      </c>
      <c r="K92" s="10" t="s">
        <v>18</v>
      </c>
      <c r="L92" s="10" t="s">
        <v>28</v>
      </c>
      <c r="M92" s="31">
        <v>994.64974569105698</v>
      </c>
      <c r="N92" s="31">
        <v>380.97</v>
      </c>
      <c r="O92" s="12">
        <f t="shared" si="8"/>
        <v>7012.2264419643698</v>
      </c>
      <c r="P92" s="66"/>
      <c r="R92" s="58">
        <f t="shared" si="9"/>
        <v>0</v>
      </c>
      <c r="S92" s="5"/>
      <c r="T92" s="6"/>
      <c r="U92" s="7"/>
      <c r="V92" s="8"/>
      <c r="W92" s="8"/>
      <c r="X92" s="47"/>
      <c r="Y92" s="13"/>
      <c r="Z92" s="57"/>
    </row>
    <row r="93" spans="2:26" x14ac:dyDescent="0.35">
      <c r="B93" s="5">
        <v>46262</v>
      </c>
      <c r="C93" s="6" t="s">
        <v>110</v>
      </c>
      <c r="D93" s="7" t="s">
        <v>1</v>
      </c>
      <c r="E93" s="8" t="s">
        <v>133</v>
      </c>
      <c r="F93" s="8" t="s">
        <v>43</v>
      </c>
      <c r="G93" s="93">
        <v>5500</v>
      </c>
      <c r="H93" s="13">
        <f t="shared" si="6"/>
        <v>4959.9250000000002</v>
      </c>
      <c r="I93" s="21">
        <v>0</v>
      </c>
      <c r="J93" s="16">
        <f t="shared" si="10"/>
        <v>9.2499999999999995E-3</v>
      </c>
      <c r="K93" s="10" t="s">
        <v>18</v>
      </c>
      <c r="L93" s="10" t="s">
        <v>28</v>
      </c>
      <c r="M93" s="31">
        <v>866.50006796747971</v>
      </c>
      <c r="N93" s="31">
        <v>489.2</v>
      </c>
      <c r="O93" s="12">
        <f t="shared" si="8"/>
        <v>6741.1053012725433</v>
      </c>
      <c r="P93" s="66"/>
      <c r="R93" s="58">
        <f t="shared" si="9"/>
        <v>0</v>
      </c>
      <c r="S93" s="5"/>
      <c r="T93" s="6"/>
      <c r="U93" s="7"/>
      <c r="V93" s="8"/>
      <c r="W93" s="8"/>
      <c r="X93" s="47"/>
      <c r="Y93" s="13"/>
      <c r="Z93" s="57"/>
    </row>
    <row r="94" spans="2:26" x14ac:dyDescent="0.35">
      <c r="B94" s="5">
        <v>46262</v>
      </c>
      <c r="C94" s="6" t="s">
        <v>101</v>
      </c>
      <c r="D94" s="7" t="s">
        <v>2</v>
      </c>
      <c r="E94" s="8" t="s">
        <v>134</v>
      </c>
      <c r="F94" s="8" t="s">
        <v>38</v>
      </c>
      <c r="G94" s="93">
        <f>5600+50</f>
        <v>5650</v>
      </c>
      <c r="H94" s="13">
        <f t="shared" si="6"/>
        <v>5479.2809666666672</v>
      </c>
      <c r="I94" s="21">
        <v>0</v>
      </c>
      <c r="J94" s="16">
        <f t="shared" si="10"/>
        <v>9.2499999999999995E-3</v>
      </c>
      <c r="K94" s="10" t="s">
        <v>18</v>
      </c>
      <c r="L94" s="10" t="s">
        <v>28</v>
      </c>
      <c r="M94" s="31">
        <v>445.71607804878045</v>
      </c>
      <c r="N94" s="31">
        <v>118.45653333333333</v>
      </c>
      <c r="O94" s="12">
        <f t="shared" si="8"/>
        <v>6855.7561359799129</v>
      </c>
      <c r="P94" s="98" t="s">
        <v>203</v>
      </c>
      <c r="R94" s="58">
        <f t="shared" si="9"/>
        <v>0</v>
      </c>
      <c r="S94" s="5"/>
      <c r="T94" s="6"/>
      <c r="U94" s="7"/>
      <c r="V94" s="8"/>
      <c r="W94" s="8"/>
      <c r="X94" s="47"/>
      <c r="Y94" s="13"/>
      <c r="Z94" s="57"/>
    </row>
    <row r="95" spans="2:26" x14ac:dyDescent="0.35">
      <c r="B95" s="5">
        <v>46262</v>
      </c>
      <c r="C95" s="6" t="s">
        <v>100</v>
      </c>
      <c r="D95" s="7" t="s">
        <v>2</v>
      </c>
      <c r="E95" s="8" t="s">
        <v>134</v>
      </c>
      <c r="F95" s="8" t="s">
        <v>38</v>
      </c>
      <c r="G95" s="93">
        <f t="shared" ref="G95:G96" si="11">5600+50</f>
        <v>5650</v>
      </c>
      <c r="H95" s="13">
        <f t="shared" si="6"/>
        <v>5450.0225399999999</v>
      </c>
      <c r="I95" s="21">
        <v>0</v>
      </c>
      <c r="J95" s="16">
        <f t="shared" si="10"/>
        <v>9.2499999999999995E-3</v>
      </c>
      <c r="K95" s="10" t="s">
        <v>18</v>
      </c>
      <c r="L95" s="10" t="s">
        <v>28</v>
      </c>
      <c r="M95" s="31">
        <v>438.92450211382118</v>
      </c>
      <c r="N95" s="31">
        <v>147.71495999999996</v>
      </c>
      <c r="O95" s="12">
        <f t="shared" si="8"/>
        <v>6814.4077513750153</v>
      </c>
      <c r="P95" s="98" t="s">
        <v>203</v>
      </c>
      <c r="R95" s="58">
        <f t="shared" si="9"/>
        <v>0</v>
      </c>
      <c r="S95" s="5"/>
      <c r="T95" s="6"/>
      <c r="U95" s="7"/>
      <c r="V95" s="8"/>
      <c r="W95" s="8"/>
      <c r="X95" s="47"/>
      <c r="Y95" s="13"/>
      <c r="Z95" s="57"/>
    </row>
    <row r="96" spans="2:26" x14ac:dyDescent="0.35">
      <c r="B96" s="5">
        <v>46262</v>
      </c>
      <c r="C96" s="6" t="s">
        <v>102</v>
      </c>
      <c r="D96" s="7" t="s">
        <v>2</v>
      </c>
      <c r="E96" s="8" t="s">
        <v>134</v>
      </c>
      <c r="F96" s="8" t="s">
        <v>38</v>
      </c>
      <c r="G96" s="93">
        <f t="shared" si="11"/>
        <v>5650</v>
      </c>
      <c r="H96" s="13">
        <f t="shared" si="6"/>
        <v>5441.4864860606067</v>
      </c>
      <c r="I96" s="21">
        <v>0</v>
      </c>
      <c r="J96" s="16">
        <f t="shared" si="10"/>
        <v>9.2499999999999995E-3</v>
      </c>
      <c r="K96" s="10" t="s">
        <v>18</v>
      </c>
      <c r="L96" s="10" t="s">
        <v>28</v>
      </c>
      <c r="M96" s="31">
        <v>484.76667186991864</v>
      </c>
      <c r="N96" s="31">
        <v>156.25101393939394</v>
      </c>
      <c r="O96" s="12">
        <f t="shared" si="8"/>
        <v>6857.1968640957539</v>
      </c>
      <c r="P96" s="98" t="s">
        <v>203</v>
      </c>
      <c r="R96" s="58">
        <f t="shared" si="9"/>
        <v>0</v>
      </c>
      <c r="S96" s="5"/>
      <c r="T96" s="6"/>
      <c r="U96" s="7"/>
      <c r="V96" s="8"/>
      <c r="W96" s="8"/>
      <c r="X96" s="47"/>
      <c r="Y96" s="13"/>
      <c r="Z96" s="57"/>
    </row>
    <row r="97" spans="2:26" x14ac:dyDescent="0.35">
      <c r="B97" s="5">
        <v>46262</v>
      </c>
      <c r="C97" s="6" t="s">
        <v>116</v>
      </c>
      <c r="D97" s="7" t="s">
        <v>6</v>
      </c>
      <c r="E97" s="8" t="s">
        <v>180</v>
      </c>
      <c r="F97" s="8" t="s">
        <v>48</v>
      </c>
      <c r="G97" s="24"/>
      <c r="H97" s="13">
        <f t="shared" si="6"/>
        <v>0</v>
      </c>
      <c r="I97" s="20">
        <v>0</v>
      </c>
      <c r="J97" s="41">
        <v>0</v>
      </c>
      <c r="K97" s="10" t="s">
        <v>31</v>
      </c>
      <c r="L97" s="19" t="s">
        <v>84</v>
      </c>
      <c r="M97" s="35">
        <v>1089.880593495935</v>
      </c>
      <c r="N97" s="35"/>
      <c r="O97" s="12">
        <f t="shared" si="8"/>
        <v>1238.5006744271989</v>
      </c>
      <c r="P97" s="66" t="s">
        <v>202</v>
      </c>
      <c r="R97" s="58">
        <f t="shared" si="9"/>
        <v>0</v>
      </c>
      <c r="S97" s="5"/>
      <c r="T97" s="6"/>
      <c r="U97" s="7"/>
      <c r="V97" s="8"/>
      <c r="W97" s="8"/>
      <c r="X97" s="47"/>
      <c r="Y97" s="13"/>
      <c r="Z97" s="57"/>
    </row>
    <row r="98" spans="2:26" x14ac:dyDescent="0.35">
      <c r="B98" s="5">
        <v>46262</v>
      </c>
      <c r="C98" s="6" t="s">
        <v>118</v>
      </c>
      <c r="D98" s="7" t="s">
        <v>6</v>
      </c>
      <c r="E98" s="8" t="s">
        <v>180</v>
      </c>
      <c r="F98" s="8" t="s">
        <v>48</v>
      </c>
      <c r="G98" s="24"/>
      <c r="H98" s="13">
        <f t="shared" si="6"/>
        <v>0</v>
      </c>
      <c r="I98" s="20">
        <v>0</v>
      </c>
      <c r="J98" s="41">
        <v>0</v>
      </c>
      <c r="K98" s="10" t="s">
        <v>31</v>
      </c>
      <c r="L98" s="19" t="s">
        <v>84</v>
      </c>
      <c r="M98" s="35">
        <v>1026.9603073170733</v>
      </c>
      <c r="N98" s="35"/>
      <c r="O98" s="12">
        <f t="shared" si="8"/>
        <v>1167.0003492239471</v>
      </c>
      <c r="P98" s="66" t="s">
        <v>202</v>
      </c>
      <c r="R98" s="58">
        <f t="shared" si="9"/>
        <v>0</v>
      </c>
      <c r="S98" s="5"/>
      <c r="T98" s="6"/>
      <c r="U98" s="7"/>
      <c r="V98" s="8"/>
      <c r="W98" s="8"/>
      <c r="X98" s="47"/>
      <c r="Y98" s="13"/>
      <c r="Z98" s="57"/>
    </row>
    <row r="99" spans="2:26" x14ac:dyDescent="0.35">
      <c r="B99" s="5">
        <v>46262</v>
      </c>
      <c r="C99" s="6" t="s">
        <v>119</v>
      </c>
      <c r="D99" s="7" t="s">
        <v>6</v>
      </c>
      <c r="E99" s="8" t="s">
        <v>180</v>
      </c>
      <c r="F99" s="8" t="s">
        <v>48</v>
      </c>
      <c r="G99" s="24"/>
      <c r="H99" s="13">
        <f t="shared" si="6"/>
        <v>0</v>
      </c>
      <c r="I99" s="20">
        <v>0</v>
      </c>
      <c r="J99" s="41">
        <v>0</v>
      </c>
      <c r="K99" s="10" t="s">
        <v>31</v>
      </c>
      <c r="L99" s="19" t="s">
        <v>84</v>
      </c>
      <c r="M99" s="35">
        <v>1004.1712263414634</v>
      </c>
      <c r="N99" s="35"/>
      <c r="O99" s="12">
        <f t="shared" si="8"/>
        <v>1141.1036662971173</v>
      </c>
      <c r="P99" s="66" t="s">
        <v>202</v>
      </c>
      <c r="R99" s="58">
        <f t="shared" si="9"/>
        <v>0</v>
      </c>
      <c r="S99" s="5"/>
      <c r="T99" s="6"/>
      <c r="U99" s="7"/>
      <c r="V99" s="8"/>
      <c r="W99" s="8"/>
      <c r="X99" s="47"/>
      <c r="Y99" s="13"/>
      <c r="Z99" s="57"/>
    </row>
    <row r="100" spans="2:26" x14ac:dyDescent="0.35">
      <c r="B100" s="5">
        <v>46262</v>
      </c>
      <c r="C100" s="6" t="s">
        <v>115</v>
      </c>
      <c r="D100" s="7" t="s">
        <v>6</v>
      </c>
      <c r="E100" s="8" t="s">
        <v>180</v>
      </c>
      <c r="F100" s="8" t="s">
        <v>48</v>
      </c>
      <c r="G100" s="24"/>
      <c r="H100" s="13">
        <f t="shared" si="6"/>
        <v>0</v>
      </c>
      <c r="I100" s="20">
        <v>0</v>
      </c>
      <c r="J100" s="41">
        <v>0</v>
      </c>
      <c r="K100" s="10" t="s">
        <v>31</v>
      </c>
      <c r="L100" s="19" t="s">
        <v>84</v>
      </c>
      <c r="M100" s="32">
        <v>891.34357886178839</v>
      </c>
      <c r="N100" s="35"/>
      <c r="O100" s="12">
        <f t="shared" si="8"/>
        <v>1012.8904305247595</v>
      </c>
      <c r="P100" s="66" t="s">
        <v>202</v>
      </c>
      <c r="R100" s="58">
        <f t="shared" si="9"/>
        <v>0</v>
      </c>
      <c r="S100" s="5"/>
      <c r="T100" s="6"/>
      <c r="U100" s="7"/>
      <c r="V100" s="8"/>
      <c r="W100" s="8"/>
      <c r="X100" s="47"/>
      <c r="Y100" s="13"/>
      <c r="Z100" s="57"/>
    </row>
    <row r="101" spans="2:26" x14ac:dyDescent="0.35">
      <c r="B101" s="5">
        <v>46262</v>
      </c>
      <c r="C101" s="6" t="s">
        <v>117</v>
      </c>
      <c r="D101" s="7" t="s">
        <v>6</v>
      </c>
      <c r="E101" s="8" t="s">
        <v>180</v>
      </c>
      <c r="F101" s="8" t="s">
        <v>48</v>
      </c>
      <c r="G101" s="24"/>
      <c r="H101" s="13">
        <f t="shared" si="6"/>
        <v>0</v>
      </c>
      <c r="I101" s="20">
        <v>0</v>
      </c>
      <c r="J101" s="41">
        <v>0</v>
      </c>
      <c r="K101" s="10" t="s">
        <v>31</v>
      </c>
      <c r="L101" s="19" t="s">
        <v>84</v>
      </c>
      <c r="M101" s="35">
        <v>942.9343300813008</v>
      </c>
      <c r="N101" s="35"/>
      <c r="O101" s="12">
        <f t="shared" si="8"/>
        <v>1071.5162841832964</v>
      </c>
      <c r="P101" s="66" t="s">
        <v>202</v>
      </c>
      <c r="R101" s="58">
        <f t="shared" ref="R101:R132" si="12">IFERROR(H101/Y101-1,0)</f>
        <v>0</v>
      </c>
      <c r="S101" s="5"/>
      <c r="T101" s="6"/>
      <c r="U101" s="7"/>
      <c r="V101" s="8"/>
      <c r="W101" s="8"/>
      <c r="X101" s="47"/>
      <c r="Y101" s="13"/>
      <c r="Z101" s="57"/>
    </row>
    <row r="102" spans="2:26" x14ac:dyDescent="0.35">
      <c r="B102" s="5">
        <v>46262</v>
      </c>
      <c r="C102" s="6" t="s">
        <v>120</v>
      </c>
      <c r="D102" s="7" t="s">
        <v>7</v>
      </c>
      <c r="E102" s="8" t="s">
        <v>180</v>
      </c>
      <c r="F102" s="8" t="s">
        <v>48</v>
      </c>
      <c r="G102" s="24"/>
      <c r="H102" s="13">
        <f t="shared" si="6"/>
        <v>0</v>
      </c>
      <c r="I102" s="20">
        <v>0</v>
      </c>
      <c r="J102" s="41">
        <v>0</v>
      </c>
      <c r="K102" s="10" t="s">
        <v>31</v>
      </c>
      <c r="L102" s="19" t="s">
        <v>84</v>
      </c>
      <c r="M102" s="31">
        <v>911.61348455284553</v>
      </c>
      <c r="N102" s="31"/>
      <c r="O102" s="12">
        <f t="shared" si="8"/>
        <v>1035.9244142645971</v>
      </c>
      <c r="P102" s="66" t="s">
        <v>202</v>
      </c>
      <c r="R102" s="58">
        <f t="shared" si="12"/>
        <v>0</v>
      </c>
      <c r="S102" s="5"/>
      <c r="T102" s="6"/>
      <c r="U102" s="7"/>
      <c r="V102" s="8"/>
      <c r="W102" s="8"/>
      <c r="X102" s="47"/>
      <c r="Y102" s="13"/>
      <c r="Z102" s="57"/>
    </row>
    <row r="103" spans="2:26" x14ac:dyDescent="0.35">
      <c r="B103" s="5">
        <v>46262</v>
      </c>
      <c r="C103" s="6" t="s">
        <v>102</v>
      </c>
      <c r="D103" s="27" t="s">
        <v>2</v>
      </c>
      <c r="E103" s="8" t="s">
        <v>180</v>
      </c>
      <c r="F103" s="8" t="s">
        <v>48</v>
      </c>
      <c r="G103" s="24"/>
      <c r="H103" s="13">
        <f t="shared" si="6"/>
        <v>0</v>
      </c>
      <c r="I103" s="20">
        <v>0</v>
      </c>
      <c r="J103" s="54">
        <v>0</v>
      </c>
      <c r="K103" s="10" t="s">
        <v>31</v>
      </c>
      <c r="L103" s="19" t="s">
        <v>84</v>
      </c>
      <c r="M103" s="31">
        <v>484.76667186991864</v>
      </c>
      <c r="N103" s="36"/>
      <c r="O103" s="12">
        <f t="shared" si="8"/>
        <v>550.8712180339985</v>
      </c>
      <c r="P103" s="66" t="s">
        <v>169</v>
      </c>
      <c r="R103" s="58">
        <f t="shared" si="12"/>
        <v>0</v>
      </c>
      <c r="S103" s="5"/>
      <c r="T103" s="6"/>
      <c r="U103" s="7"/>
      <c r="V103" s="8"/>
      <c r="W103" s="8"/>
      <c r="X103" s="47"/>
      <c r="Y103" s="13"/>
      <c r="Z103" s="57"/>
    </row>
    <row r="104" spans="2:26" x14ac:dyDescent="0.35">
      <c r="B104" s="5">
        <v>46262</v>
      </c>
      <c r="C104" s="6" t="s">
        <v>163</v>
      </c>
      <c r="D104" s="27" t="s">
        <v>2</v>
      </c>
      <c r="E104" s="8" t="s">
        <v>180</v>
      </c>
      <c r="F104" s="8" t="s">
        <v>48</v>
      </c>
      <c r="G104" s="24"/>
      <c r="H104" s="13">
        <f t="shared" si="6"/>
        <v>0</v>
      </c>
      <c r="I104" s="20">
        <v>0</v>
      </c>
      <c r="J104" s="54">
        <v>0</v>
      </c>
      <c r="K104" s="10" t="s">
        <v>31</v>
      </c>
      <c r="L104" s="19" t="s">
        <v>84</v>
      </c>
      <c r="M104" s="31">
        <v>445.71607804878045</v>
      </c>
      <c r="N104" s="36"/>
      <c r="O104" s="12">
        <f t="shared" si="8"/>
        <v>506.4955432372505</v>
      </c>
      <c r="P104" s="66" t="s">
        <v>169</v>
      </c>
      <c r="R104" s="58">
        <f t="shared" si="12"/>
        <v>0</v>
      </c>
      <c r="S104" s="5"/>
      <c r="T104" s="6"/>
      <c r="U104" s="7"/>
      <c r="V104" s="8"/>
      <c r="W104" s="8"/>
      <c r="X104" s="47"/>
      <c r="Y104" s="13"/>
      <c r="Z104" s="57"/>
    </row>
    <row r="105" spans="2:26" x14ac:dyDescent="0.35">
      <c r="B105" s="5">
        <v>46262</v>
      </c>
      <c r="C105" s="6" t="s">
        <v>164</v>
      </c>
      <c r="D105" s="27" t="s">
        <v>2</v>
      </c>
      <c r="E105" s="8" t="s">
        <v>180</v>
      </c>
      <c r="F105" s="8" t="s">
        <v>48</v>
      </c>
      <c r="G105" s="24"/>
      <c r="H105" s="13">
        <f t="shared" si="6"/>
        <v>0</v>
      </c>
      <c r="I105" s="20">
        <v>0</v>
      </c>
      <c r="J105" s="54">
        <v>0</v>
      </c>
      <c r="K105" s="10" t="s">
        <v>31</v>
      </c>
      <c r="L105" s="19" t="s">
        <v>84</v>
      </c>
      <c r="M105" s="31">
        <v>445.71607804878045</v>
      </c>
      <c r="N105" s="36"/>
      <c r="O105" s="12">
        <f t="shared" si="8"/>
        <v>506.4955432372505</v>
      </c>
      <c r="P105" s="66" t="s">
        <v>169</v>
      </c>
      <c r="R105" s="58">
        <f t="shared" si="12"/>
        <v>0</v>
      </c>
      <c r="S105" s="5"/>
      <c r="T105" s="6"/>
      <c r="U105" s="7"/>
      <c r="V105" s="8"/>
      <c r="W105" s="8"/>
      <c r="X105" s="47"/>
      <c r="Y105" s="13"/>
      <c r="Z105" s="57"/>
    </row>
    <row r="106" spans="2:26" x14ac:dyDescent="0.35">
      <c r="B106" s="5">
        <v>46262</v>
      </c>
      <c r="C106" s="6" t="s">
        <v>100</v>
      </c>
      <c r="D106" s="27" t="s">
        <v>2</v>
      </c>
      <c r="E106" s="8" t="s">
        <v>180</v>
      </c>
      <c r="F106" s="8" t="s">
        <v>48</v>
      </c>
      <c r="G106" s="24"/>
      <c r="H106" s="13">
        <f t="shared" si="6"/>
        <v>0</v>
      </c>
      <c r="I106" s="20">
        <v>0</v>
      </c>
      <c r="J106" s="54">
        <v>0</v>
      </c>
      <c r="K106" s="10" t="s">
        <v>31</v>
      </c>
      <c r="L106" s="19" t="s">
        <v>84</v>
      </c>
      <c r="M106" s="31">
        <v>438.92450211382118</v>
      </c>
      <c r="N106" s="36"/>
      <c r="O106" s="12">
        <f t="shared" si="8"/>
        <v>498.77784331116044</v>
      </c>
      <c r="P106" s="66" t="s">
        <v>169</v>
      </c>
      <c r="R106" s="58">
        <f t="shared" si="12"/>
        <v>0</v>
      </c>
      <c r="S106" s="5"/>
      <c r="T106" s="6"/>
      <c r="U106" s="7"/>
      <c r="V106" s="8"/>
      <c r="W106" s="8"/>
      <c r="X106" s="47"/>
      <c r="Y106" s="13"/>
      <c r="Z106" s="57"/>
    </row>
    <row r="107" spans="2:26" x14ac:dyDescent="0.35">
      <c r="B107" s="5">
        <v>46262</v>
      </c>
      <c r="C107" s="6" t="s">
        <v>121</v>
      </c>
      <c r="D107" s="7" t="s">
        <v>3</v>
      </c>
      <c r="E107" s="8" t="s">
        <v>180</v>
      </c>
      <c r="F107" s="8" t="s">
        <v>48</v>
      </c>
      <c r="G107" s="25"/>
      <c r="H107" s="13">
        <f t="shared" si="6"/>
        <v>0</v>
      </c>
      <c r="I107" s="20">
        <v>0</v>
      </c>
      <c r="J107" s="41">
        <v>0</v>
      </c>
      <c r="K107" s="10" t="s">
        <v>31</v>
      </c>
      <c r="L107" s="19" t="s">
        <v>84</v>
      </c>
      <c r="M107" s="31">
        <v>243.357521300813</v>
      </c>
      <c r="N107" s="31"/>
      <c r="O107" s="12">
        <f t="shared" si="8"/>
        <v>276.54263784183297</v>
      </c>
      <c r="P107" s="66" t="s">
        <v>169</v>
      </c>
      <c r="R107" s="58">
        <f t="shared" si="12"/>
        <v>0</v>
      </c>
      <c r="S107" s="5"/>
      <c r="T107" s="6"/>
      <c r="U107" s="7"/>
      <c r="V107" s="8"/>
      <c r="W107" s="8"/>
      <c r="X107" s="47"/>
      <c r="Y107" s="13"/>
      <c r="Z107" s="57"/>
    </row>
    <row r="108" spans="2:26" x14ac:dyDescent="0.35">
      <c r="B108" s="5">
        <v>46262</v>
      </c>
      <c r="C108" s="6" t="s">
        <v>122</v>
      </c>
      <c r="D108" s="7" t="s">
        <v>3</v>
      </c>
      <c r="E108" s="8" t="s">
        <v>180</v>
      </c>
      <c r="F108" s="8" t="s">
        <v>48</v>
      </c>
      <c r="G108" s="25"/>
      <c r="H108" s="13">
        <f t="shared" si="6"/>
        <v>0</v>
      </c>
      <c r="I108" s="20">
        <v>0</v>
      </c>
      <c r="J108" s="41">
        <v>0</v>
      </c>
      <c r="K108" s="10" t="s">
        <v>31</v>
      </c>
      <c r="L108" s="19" t="s">
        <v>84</v>
      </c>
      <c r="M108" s="33">
        <v>240.83857951219514</v>
      </c>
      <c r="N108" s="31"/>
      <c r="O108" s="12">
        <f t="shared" si="8"/>
        <v>273.68020399113084</v>
      </c>
      <c r="P108" s="66" t="s">
        <v>169</v>
      </c>
      <c r="R108" s="58">
        <f t="shared" si="12"/>
        <v>0</v>
      </c>
      <c r="S108" s="5"/>
      <c r="T108" s="6"/>
      <c r="U108" s="7"/>
      <c r="V108" s="8"/>
      <c r="W108" s="8"/>
      <c r="X108" s="47"/>
      <c r="Y108" s="13"/>
      <c r="Z108" s="57"/>
    </row>
    <row r="109" spans="2:26" x14ac:dyDescent="0.35">
      <c r="B109" s="5">
        <v>46262</v>
      </c>
      <c r="C109" s="6" t="s">
        <v>123</v>
      </c>
      <c r="D109" s="7" t="s">
        <v>3</v>
      </c>
      <c r="E109" s="8" t="s">
        <v>180</v>
      </c>
      <c r="F109" s="8" t="s">
        <v>48</v>
      </c>
      <c r="G109" s="25"/>
      <c r="H109" s="13">
        <f t="shared" si="6"/>
        <v>0</v>
      </c>
      <c r="I109" s="20">
        <v>0</v>
      </c>
      <c r="J109" s="41">
        <v>0</v>
      </c>
      <c r="K109" s="10" t="s">
        <v>31</v>
      </c>
      <c r="L109" s="19" t="s">
        <v>84</v>
      </c>
      <c r="M109" s="31">
        <v>324.29597008130082</v>
      </c>
      <c r="N109" s="31"/>
      <c r="O109" s="12">
        <f t="shared" si="8"/>
        <v>368.51814781966004</v>
      </c>
      <c r="P109" s="66" t="s">
        <v>169</v>
      </c>
      <c r="R109" s="58">
        <f t="shared" si="12"/>
        <v>0</v>
      </c>
      <c r="S109" s="5"/>
      <c r="T109" s="6"/>
      <c r="U109" s="7"/>
      <c r="V109" s="8"/>
      <c r="W109" s="8"/>
      <c r="X109" s="47"/>
      <c r="Y109" s="13"/>
      <c r="Z109" s="57"/>
    </row>
    <row r="110" spans="2:26" x14ac:dyDescent="0.35">
      <c r="B110" s="5">
        <v>46262</v>
      </c>
      <c r="C110" s="8" t="s">
        <v>128</v>
      </c>
      <c r="D110" s="27" t="s">
        <v>15</v>
      </c>
      <c r="E110" s="67" t="s">
        <v>90</v>
      </c>
      <c r="F110" s="67" t="s">
        <v>91</v>
      </c>
      <c r="G110" s="25">
        <f>6500-M110+N110</f>
        <v>6273.9764442276428</v>
      </c>
      <c r="H110" s="13">
        <f t="shared" si="6"/>
        <v>4256.875835022036</v>
      </c>
      <c r="I110" s="9">
        <v>0.12</v>
      </c>
      <c r="J110" s="16">
        <f t="shared" ref="J110:J132" si="13">9.25%*10%</f>
        <v>9.2499999999999995E-3</v>
      </c>
      <c r="K110" s="10" t="s">
        <v>18</v>
      </c>
      <c r="L110" s="10" t="s">
        <v>92</v>
      </c>
      <c r="M110" s="31">
        <v>1439.1768234146339</v>
      </c>
      <c r="N110" s="36">
        <v>1213.1532676422762</v>
      </c>
      <c r="O110" s="12">
        <f t="shared" si="8"/>
        <v>6500</v>
      </c>
      <c r="P110" s="68" t="s">
        <v>196</v>
      </c>
      <c r="R110" s="58">
        <f t="shared" si="12"/>
        <v>0</v>
      </c>
      <c r="S110" s="5"/>
      <c r="T110" s="6"/>
      <c r="U110" s="7"/>
      <c r="V110" s="8"/>
      <c r="W110" s="8"/>
      <c r="X110" s="47"/>
      <c r="Y110" s="13"/>
      <c r="Z110" s="57"/>
    </row>
    <row r="111" spans="2:26" x14ac:dyDescent="0.35">
      <c r="B111" s="48">
        <v>46262</v>
      </c>
      <c r="C111" s="8" t="s">
        <v>98</v>
      </c>
      <c r="D111" s="27" t="s">
        <v>4</v>
      </c>
      <c r="E111" s="67" t="s">
        <v>90</v>
      </c>
      <c r="F111" s="67" t="s">
        <v>91</v>
      </c>
      <c r="G111" s="81">
        <f>(6500*0.88)-M111+N111</f>
        <v>5396.412899837399</v>
      </c>
      <c r="H111" s="13">
        <f t="shared" si="6"/>
        <v>5180.9013709204073</v>
      </c>
      <c r="I111" s="20">
        <v>0</v>
      </c>
      <c r="J111" s="16">
        <f t="shared" si="13"/>
        <v>9.2499999999999995E-3</v>
      </c>
      <c r="K111" s="10" t="s">
        <v>18</v>
      </c>
      <c r="L111" s="10" t="s">
        <v>92</v>
      </c>
      <c r="M111" s="31">
        <v>489.18180975609749</v>
      </c>
      <c r="N111" s="36">
        <v>165.59470959349593</v>
      </c>
      <c r="O111" s="12">
        <f t="shared" si="8"/>
        <v>6560.6863487257133</v>
      </c>
      <c r="P111" s="68" t="s">
        <v>196</v>
      </c>
      <c r="R111" s="58">
        <f t="shared" si="12"/>
        <v>0</v>
      </c>
      <c r="S111" s="5"/>
      <c r="T111" s="6"/>
      <c r="U111" s="7"/>
      <c r="V111" s="8"/>
      <c r="W111" s="8"/>
      <c r="X111" s="47"/>
      <c r="Y111" s="13"/>
      <c r="Z111" s="57"/>
    </row>
    <row r="112" spans="2:26" x14ac:dyDescent="0.35">
      <c r="B112" s="48">
        <v>46262</v>
      </c>
      <c r="C112" s="8" t="s">
        <v>99</v>
      </c>
      <c r="D112" s="27" t="s">
        <v>4</v>
      </c>
      <c r="E112" s="67" t="s">
        <v>90</v>
      </c>
      <c r="F112" s="67" t="s">
        <v>91</v>
      </c>
      <c r="G112" s="81">
        <f t="shared" ref="G112:G113" si="14">(6500*0.88)-M112+N112</f>
        <v>5430.8364022764235</v>
      </c>
      <c r="H112" s="13">
        <f t="shared" si="6"/>
        <v>5105.0127603521141</v>
      </c>
      <c r="I112" s="20">
        <v>0</v>
      </c>
      <c r="J112" s="16">
        <f t="shared" si="13"/>
        <v>9.2499999999999995E-3</v>
      </c>
      <c r="K112" s="10" t="s">
        <v>18</v>
      </c>
      <c r="L112" s="10" t="s">
        <v>92</v>
      </c>
      <c r="M112" s="31">
        <v>564.75200292682928</v>
      </c>
      <c r="N112" s="36">
        <v>275.58840520325208</v>
      </c>
      <c r="O112" s="12">
        <f t="shared" si="8"/>
        <v>6560.6863487257133</v>
      </c>
      <c r="P112" s="68" t="s">
        <v>196</v>
      </c>
      <c r="R112" s="58">
        <f t="shared" si="12"/>
        <v>0</v>
      </c>
      <c r="S112" s="5"/>
      <c r="T112" s="6"/>
      <c r="U112" s="7"/>
      <c r="V112" s="8"/>
      <c r="W112" s="8"/>
      <c r="X112" s="47"/>
      <c r="Y112" s="13"/>
      <c r="Z112" s="57"/>
    </row>
    <row r="113" spans="2:26" x14ac:dyDescent="0.35">
      <c r="B113" s="48">
        <v>46262</v>
      </c>
      <c r="C113" s="8" t="s">
        <v>97</v>
      </c>
      <c r="D113" s="27" t="s">
        <v>4</v>
      </c>
      <c r="E113" s="67" t="s">
        <v>90</v>
      </c>
      <c r="F113" s="67" t="s">
        <v>91</v>
      </c>
      <c r="G113" s="81">
        <f t="shared" si="14"/>
        <v>5396.1635508943091</v>
      </c>
      <c r="H113" s="13">
        <f t="shared" si="6"/>
        <v>5176.3448481298374</v>
      </c>
      <c r="I113" s="20">
        <v>0</v>
      </c>
      <c r="J113" s="16">
        <f t="shared" si="13"/>
        <v>9.2499999999999995E-3</v>
      </c>
      <c r="K113" s="10" t="s">
        <v>18</v>
      </c>
      <c r="L113" s="10" t="s">
        <v>92</v>
      </c>
      <c r="M113" s="31">
        <v>493.74063902439019</v>
      </c>
      <c r="N113" s="36">
        <v>169.90418991869919</v>
      </c>
      <c r="O113" s="12">
        <f t="shared" si="8"/>
        <v>6560.6863487257133</v>
      </c>
      <c r="P113" s="68" t="s">
        <v>196</v>
      </c>
      <c r="R113" s="58">
        <f t="shared" si="12"/>
        <v>0</v>
      </c>
      <c r="S113" s="5"/>
      <c r="T113" s="6"/>
      <c r="U113" s="7"/>
      <c r="V113" s="8"/>
      <c r="W113" s="8"/>
      <c r="X113" s="47"/>
      <c r="Y113" s="13"/>
      <c r="Z113" s="57"/>
    </row>
    <row r="114" spans="2:26" x14ac:dyDescent="0.35">
      <c r="B114" s="48">
        <v>46262</v>
      </c>
      <c r="C114" s="8" t="s">
        <v>105</v>
      </c>
      <c r="D114" s="27" t="s">
        <v>1</v>
      </c>
      <c r="E114" s="67" t="s">
        <v>90</v>
      </c>
      <c r="F114" s="67" t="s">
        <v>91</v>
      </c>
      <c r="G114" s="25">
        <f>6500-M114+N114</f>
        <v>6254.8654552845528</v>
      </c>
      <c r="H114" s="13">
        <f t="shared" si="6"/>
        <v>5089.7369958443896</v>
      </c>
      <c r="I114" s="9">
        <v>0.12</v>
      </c>
      <c r="J114" s="16">
        <f t="shared" si="13"/>
        <v>9.2499999999999995E-3</v>
      </c>
      <c r="K114" s="10" t="s">
        <v>18</v>
      </c>
      <c r="L114" s="10" t="s">
        <v>92</v>
      </c>
      <c r="M114" s="31">
        <v>608.76454471544707</v>
      </c>
      <c r="N114" s="31">
        <v>363.63</v>
      </c>
      <c r="O114" s="12">
        <f t="shared" si="8"/>
        <v>6500</v>
      </c>
      <c r="P114" s="68" t="s">
        <v>196</v>
      </c>
      <c r="R114" s="58">
        <f t="shared" si="12"/>
        <v>0</v>
      </c>
      <c r="S114" s="5"/>
      <c r="T114" s="6"/>
      <c r="U114" s="7"/>
      <c r="V114" s="8"/>
      <c r="W114" s="8"/>
      <c r="X114" s="47"/>
      <c r="Y114" s="13"/>
      <c r="Z114" s="57"/>
    </row>
    <row r="115" spans="2:26" x14ac:dyDescent="0.35">
      <c r="B115" s="48">
        <v>46262</v>
      </c>
      <c r="C115" s="8" t="s">
        <v>149</v>
      </c>
      <c r="D115" s="27" t="s">
        <v>1</v>
      </c>
      <c r="E115" s="67" t="s">
        <v>90</v>
      </c>
      <c r="F115" s="67" t="s">
        <v>91</v>
      </c>
      <c r="G115" s="25">
        <f t="shared" ref="G115:G131" si="15">6500-M115+N115</f>
        <v>6207.2929541463418</v>
      </c>
      <c r="H115" s="13">
        <f t="shared" si="6"/>
        <v>4918.1604350020298</v>
      </c>
      <c r="I115" s="9">
        <v>0.12</v>
      </c>
      <c r="J115" s="16">
        <f t="shared" si="13"/>
        <v>9.2499999999999995E-3</v>
      </c>
      <c r="K115" s="10" t="s">
        <v>18</v>
      </c>
      <c r="L115" s="10" t="s">
        <v>92</v>
      </c>
      <c r="M115" s="31">
        <v>786.43704585365845</v>
      </c>
      <c r="N115" s="31">
        <v>493.73</v>
      </c>
      <c r="O115" s="12">
        <f t="shared" si="8"/>
        <v>6500</v>
      </c>
      <c r="P115" s="68" t="s">
        <v>196</v>
      </c>
      <c r="R115" s="58">
        <f t="shared" si="12"/>
        <v>0</v>
      </c>
      <c r="S115" s="5"/>
      <c r="T115" s="6"/>
      <c r="U115" s="7"/>
      <c r="V115" s="8"/>
      <c r="W115" s="8"/>
      <c r="X115" s="47"/>
      <c r="Y115" s="13"/>
      <c r="Z115" s="57"/>
    </row>
    <row r="116" spans="2:26" x14ac:dyDescent="0.35">
      <c r="B116" s="48">
        <v>46262</v>
      </c>
      <c r="C116" s="8" t="s">
        <v>109</v>
      </c>
      <c r="D116" s="27" t="s">
        <v>1</v>
      </c>
      <c r="E116" s="67" t="s">
        <v>90</v>
      </c>
      <c r="F116" s="67" t="s">
        <v>91</v>
      </c>
      <c r="G116" s="25">
        <f t="shared" si="15"/>
        <v>6230.2928455284555</v>
      </c>
      <c r="H116" s="13">
        <f t="shared" si="6"/>
        <v>4864.8231203024397</v>
      </c>
      <c r="I116" s="9">
        <v>0.12</v>
      </c>
      <c r="J116" s="16">
        <f t="shared" si="13"/>
        <v>9.2499999999999995E-3</v>
      </c>
      <c r="K116" s="10" t="s">
        <v>18</v>
      </c>
      <c r="L116" s="10" t="s">
        <v>92</v>
      </c>
      <c r="M116" s="31">
        <v>836.82715447154465</v>
      </c>
      <c r="N116" s="31">
        <v>567.12</v>
      </c>
      <c r="O116" s="12">
        <f t="shared" si="8"/>
        <v>6500</v>
      </c>
      <c r="P116" s="68" t="s">
        <v>196</v>
      </c>
      <c r="R116" s="58">
        <f t="shared" si="12"/>
        <v>0</v>
      </c>
      <c r="S116" s="5"/>
      <c r="T116" s="6"/>
      <c r="U116" s="7"/>
      <c r="V116" s="8"/>
      <c r="W116" s="8"/>
      <c r="X116" s="47"/>
      <c r="Y116" s="13"/>
      <c r="Z116" s="57"/>
    </row>
    <row r="117" spans="2:26" x14ac:dyDescent="0.35">
      <c r="B117" s="48">
        <v>46262</v>
      </c>
      <c r="C117" s="8" t="s">
        <v>110</v>
      </c>
      <c r="D117" s="27" t="s">
        <v>1</v>
      </c>
      <c r="E117" s="67" t="s">
        <v>90</v>
      </c>
      <c r="F117" s="67" t="s">
        <v>91</v>
      </c>
      <c r="G117" s="25">
        <f t="shared" si="15"/>
        <v>6134.2399320325203</v>
      </c>
      <c r="H117" s="13">
        <f t="shared" si="6"/>
        <v>4847.4584271418735</v>
      </c>
      <c r="I117" s="9">
        <v>0.12</v>
      </c>
      <c r="J117" s="16">
        <f t="shared" si="13"/>
        <v>9.2499999999999995E-3</v>
      </c>
      <c r="K117" s="10" t="s">
        <v>18</v>
      </c>
      <c r="L117" s="10" t="s">
        <v>92</v>
      </c>
      <c r="M117" s="31">
        <v>866.50006796747971</v>
      </c>
      <c r="N117" s="31">
        <v>500.74</v>
      </c>
      <c r="O117" s="12">
        <f t="shared" si="8"/>
        <v>6500</v>
      </c>
      <c r="P117" s="68" t="s">
        <v>196</v>
      </c>
      <c r="R117" s="58">
        <f t="shared" si="12"/>
        <v>0</v>
      </c>
      <c r="S117" s="5"/>
      <c r="T117" s="6"/>
      <c r="U117" s="7"/>
      <c r="V117" s="8"/>
      <c r="W117" s="8"/>
      <c r="X117" s="47"/>
      <c r="Y117" s="13"/>
      <c r="Z117" s="57"/>
    </row>
    <row r="118" spans="2:26" x14ac:dyDescent="0.35">
      <c r="B118" s="48">
        <v>46262</v>
      </c>
      <c r="C118" s="8" t="s">
        <v>150</v>
      </c>
      <c r="D118" s="27" t="s">
        <v>1</v>
      </c>
      <c r="E118" s="67" t="s">
        <v>90</v>
      </c>
      <c r="F118" s="67" t="s">
        <v>91</v>
      </c>
      <c r="G118" s="25">
        <f t="shared" si="15"/>
        <v>6225.3192715447158</v>
      </c>
      <c r="H118" s="13">
        <f t="shared" si="6"/>
        <v>4825.7268600889756</v>
      </c>
      <c r="I118" s="9">
        <v>0.12</v>
      </c>
      <c r="J118" s="16">
        <f t="shared" si="13"/>
        <v>9.2499999999999995E-3</v>
      </c>
      <c r="K118" s="10" t="s">
        <v>18</v>
      </c>
      <c r="L118" s="10" t="s">
        <v>92</v>
      </c>
      <c r="M118" s="31">
        <v>876.56072845528456</v>
      </c>
      <c r="N118" s="31">
        <v>601.88</v>
      </c>
      <c r="O118" s="12">
        <f t="shared" si="8"/>
        <v>6500</v>
      </c>
      <c r="P118" s="68" t="s">
        <v>196</v>
      </c>
      <c r="R118" s="58">
        <f t="shared" si="12"/>
        <v>0</v>
      </c>
      <c r="S118" s="5"/>
      <c r="T118" s="6"/>
      <c r="U118" s="7"/>
      <c r="V118" s="8"/>
      <c r="W118" s="8"/>
      <c r="X118" s="47"/>
      <c r="Y118" s="13"/>
      <c r="Z118" s="57"/>
    </row>
    <row r="119" spans="2:26" x14ac:dyDescent="0.35">
      <c r="B119" s="48">
        <v>46262</v>
      </c>
      <c r="C119" s="8" t="s">
        <v>148</v>
      </c>
      <c r="D119" s="27" t="s">
        <v>1</v>
      </c>
      <c r="E119" s="67" t="s">
        <v>90</v>
      </c>
      <c r="F119" s="67" t="s">
        <v>91</v>
      </c>
      <c r="G119" s="25">
        <f t="shared" si="15"/>
        <v>6219.611740487805</v>
      </c>
      <c r="H119" s="13">
        <f t="shared" si="6"/>
        <v>4763.7706920616984</v>
      </c>
      <c r="I119" s="9">
        <v>0.12</v>
      </c>
      <c r="J119" s="16">
        <f t="shared" si="13"/>
        <v>9.2499999999999995E-3</v>
      </c>
      <c r="K119" s="10" t="s">
        <v>18</v>
      </c>
      <c r="L119" s="10" t="s">
        <v>92</v>
      </c>
      <c r="M119" s="31">
        <v>939.24825951219509</v>
      </c>
      <c r="N119" s="31">
        <v>658.86</v>
      </c>
      <c r="O119" s="12">
        <f t="shared" si="8"/>
        <v>6500.0000000000009</v>
      </c>
      <c r="P119" s="68" t="s">
        <v>196</v>
      </c>
      <c r="R119" s="58">
        <f t="shared" si="12"/>
        <v>0</v>
      </c>
      <c r="S119" s="5"/>
      <c r="T119" s="6"/>
      <c r="U119" s="7"/>
      <c r="V119" s="8"/>
      <c r="W119" s="8"/>
      <c r="X119" s="47"/>
      <c r="Y119" s="13"/>
      <c r="Z119" s="57"/>
    </row>
    <row r="120" spans="2:26" x14ac:dyDescent="0.35">
      <c r="B120" s="48">
        <v>46262</v>
      </c>
      <c r="C120" s="8" t="s">
        <v>111</v>
      </c>
      <c r="D120" s="27" t="s">
        <v>1</v>
      </c>
      <c r="E120" s="67" t="s">
        <v>90</v>
      </c>
      <c r="F120" s="67" t="s">
        <v>91</v>
      </c>
      <c r="G120" s="25">
        <f t="shared" si="15"/>
        <v>6211.4985964227644</v>
      </c>
      <c r="H120" s="13">
        <f t="shared" si="6"/>
        <v>4738.6671662771514</v>
      </c>
      <c r="I120" s="9">
        <v>0.12</v>
      </c>
      <c r="J120" s="16">
        <f t="shared" si="13"/>
        <v>9.2499999999999995E-3</v>
      </c>
      <c r="K120" s="10" t="s">
        <v>18</v>
      </c>
      <c r="L120" s="10" t="s">
        <v>92</v>
      </c>
      <c r="M120" s="31">
        <v>965.39140357723568</v>
      </c>
      <c r="N120" s="31">
        <v>676.89</v>
      </c>
      <c r="O120" s="12">
        <f t="shared" si="8"/>
        <v>6500</v>
      </c>
      <c r="P120" s="68" t="s">
        <v>196</v>
      </c>
      <c r="R120" s="58">
        <f t="shared" si="12"/>
        <v>0</v>
      </c>
      <c r="S120" s="5"/>
      <c r="T120" s="6"/>
      <c r="U120" s="7"/>
      <c r="V120" s="8"/>
      <c r="W120" s="8"/>
      <c r="X120" s="47"/>
      <c r="Y120" s="13"/>
      <c r="Z120" s="57"/>
    </row>
    <row r="121" spans="2:26" x14ac:dyDescent="0.35">
      <c r="B121" s="48">
        <v>46262</v>
      </c>
      <c r="C121" s="8" t="s">
        <v>146</v>
      </c>
      <c r="D121" s="27" t="s">
        <v>1</v>
      </c>
      <c r="E121" s="67" t="s">
        <v>90</v>
      </c>
      <c r="F121" s="67" t="s">
        <v>91</v>
      </c>
      <c r="G121" s="25">
        <f t="shared" si="15"/>
        <v>6234.8486035772366</v>
      </c>
      <c r="H121" s="13">
        <f t="shared" si="6"/>
        <v>4706.4167542465566</v>
      </c>
      <c r="I121" s="9">
        <v>0.12</v>
      </c>
      <c r="J121" s="16">
        <f t="shared" si="13"/>
        <v>9.2499999999999995E-3</v>
      </c>
      <c r="K121" s="10" t="s">
        <v>18</v>
      </c>
      <c r="L121" s="10" t="s">
        <v>92</v>
      </c>
      <c r="M121" s="31">
        <v>994.64974569105698</v>
      </c>
      <c r="N121" s="31">
        <v>729.49834926829271</v>
      </c>
      <c r="O121" s="12">
        <f t="shared" si="8"/>
        <v>6500</v>
      </c>
      <c r="P121" s="68" t="s">
        <v>196</v>
      </c>
      <c r="R121" s="58">
        <f t="shared" si="12"/>
        <v>0</v>
      </c>
      <c r="S121" s="5"/>
      <c r="T121" s="6"/>
      <c r="U121" s="7"/>
      <c r="V121" s="8"/>
      <c r="W121" s="8"/>
      <c r="X121" s="47"/>
      <c r="Y121" s="13"/>
      <c r="Z121" s="57"/>
    </row>
    <row r="122" spans="2:26" x14ac:dyDescent="0.35">
      <c r="B122" s="48">
        <v>46262</v>
      </c>
      <c r="C122" s="8" t="s">
        <v>147</v>
      </c>
      <c r="D122" s="27" t="s">
        <v>1</v>
      </c>
      <c r="E122" s="67" t="s">
        <v>90</v>
      </c>
      <c r="F122" s="67" t="s">
        <v>91</v>
      </c>
      <c r="G122" s="25">
        <f t="shared" si="15"/>
        <v>6196.4473863414632</v>
      </c>
      <c r="H122" s="13">
        <f t="shared" si="6"/>
        <v>5122.602280694693</v>
      </c>
      <c r="I122" s="9">
        <v>0.12</v>
      </c>
      <c r="J122" s="16">
        <f t="shared" si="13"/>
        <v>9.2499999999999995E-3</v>
      </c>
      <c r="K122" s="10" t="s">
        <v>18</v>
      </c>
      <c r="L122" s="10" t="s">
        <v>92</v>
      </c>
      <c r="M122" s="31">
        <v>583.38495121951212</v>
      </c>
      <c r="N122" s="31">
        <v>279.83233756097559</v>
      </c>
      <c r="O122" s="12">
        <f t="shared" si="8"/>
        <v>6500</v>
      </c>
      <c r="P122" s="68" t="s">
        <v>196</v>
      </c>
      <c r="R122" s="58">
        <f t="shared" si="12"/>
        <v>0</v>
      </c>
      <c r="S122" s="5"/>
      <c r="T122" s="6"/>
      <c r="U122" s="7"/>
      <c r="V122" s="8"/>
      <c r="W122" s="8"/>
      <c r="X122" s="47"/>
      <c r="Y122" s="13"/>
      <c r="Z122" s="57"/>
    </row>
    <row r="123" spans="2:26" x14ac:dyDescent="0.35">
      <c r="B123" s="48">
        <v>46262</v>
      </c>
      <c r="C123" s="8" t="s">
        <v>151</v>
      </c>
      <c r="D123" s="27" t="s">
        <v>6</v>
      </c>
      <c r="E123" s="67" t="s">
        <v>90</v>
      </c>
      <c r="F123" s="67" t="s">
        <v>91</v>
      </c>
      <c r="G123" s="25">
        <f t="shared" si="15"/>
        <v>6106.5564211382116</v>
      </c>
      <c r="H123" s="13">
        <f t="shared" si="6"/>
        <v>4826.1622813335616</v>
      </c>
      <c r="I123" s="9">
        <v>0.12</v>
      </c>
      <c r="J123" s="16">
        <f t="shared" si="13"/>
        <v>9.2499999999999995E-3</v>
      </c>
      <c r="K123" s="10" t="s">
        <v>18</v>
      </c>
      <c r="L123" s="11" t="s">
        <v>92</v>
      </c>
      <c r="M123" s="31">
        <v>891.34357886178839</v>
      </c>
      <c r="N123" s="36">
        <v>497.9</v>
      </c>
      <c r="O123" s="12">
        <f t="shared" si="8"/>
        <v>6500</v>
      </c>
      <c r="P123" s="68" t="s">
        <v>196</v>
      </c>
      <c r="R123" s="58">
        <f t="shared" si="12"/>
        <v>0</v>
      </c>
      <c r="S123" s="5"/>
      <c r="T123" s="6"/>
      <c r="U123" s="7"/>
      <c r="V123" s="8"/>
      <c r="W123" s="8"/>
      <c r="X123" s="47"/>
      <c r="Y123" s="13"/>
      <c r="Z123" s="57"/>
    </row>
    <row r="124" spans="2:26" x14ac:dyDescent="0.35">
      <c r="B124" s="48">
        <v>46262</v>
      </c>
      <c r="C124" s="6" t="s">
        <v>116</v>
      </c>
      <c r="D124" s="27" t="s">
        <v>6</v>
      </c>
      <c r="E124" s="67" t="s">
        <v>90</v>
      </c>
      <c r="F124" s="67" t="s">
        <v>91</v>
      </c>
      <c r="G124" s="25">
        <f t="shared" si="15"/>
        <v>6057.5202845528456</v>
      </c>
      <c r="H124" s="13">
        <f t="shared" si="6"/>
        <v>4633.9087572414637</v>
      </c>
      <c r="I124" s="9">
        <v>0.12</v>
      </c>
      <c r="J124" s="16">
        <f t="shared" si="13"/>
        <v>9.2499999999999995E-3</v>
      </c>
      <c r="K124" s="10" t="s">
        <v>18</v>
      </c>
      <c r="L124" s="11" t="s">
        <v>92</v>
      </c>
      <c r="M124" s="31">
        <v>1089.880593495935</v>
      </c>
      <c r="N124" s="36">
        <v>647.40087804878044</v>
      </c>
      <c r="O124" s="12">
        <f t="shared" si="8"/>
        <v>6500</v>
      </c>
      <c r="P124" s="68" t="s">
        <v>196</v>
      </c>
      <c r="R124" s="58">
        <f t="shared" si="12"/>
        <v>0</v>
      </c>
      <c r="S124" s="5"/>
      <c r="T124" s="6"/>
      <c r="U124" s="7"/>
      <c r="V124" s="8"/>
      <c r="W124" s="8"/>
      <c r="X124" s="47"/>
      <c r="Y124" s="13"/>
      <c r="Z124" s="57"/>
    </row>
    <row r="125" spans="2:26" x14ac:dyDescent="0.35">
      <c r="B125" s="48">
        <v>46262</v>
      </c>
      <c r="C125" s="6" t="s">
        <v>117</v>
      </c>
      <c r="D125" s="27" t="s">
        <v>6</v>
      </c>
      <c r="E125" s="67" t="s">
        <v>90</v>
      </c>
      <c r="F125" s="67" t="s">
        <v>91</v>
      </c>
      <c r="G125" s="25">
        <f t="shared" si="15"/>
        <v>6129.1373817886179</v>
      </c>
      <c r="H125" s="13">
        <f t="shared" si="6"/>
        <v>4771.6780058163058</v>
      </c>
      <c r="I125" s="9">
        <v>0.12</v>
      </c>
      <c r="J125" s="16">
        <f t="shared" si="13"/>
        <v>9.2499999999999995E-3</v>
      </c>
      <c r="K125" s="10" t="s">
        <v>18</v>
      </c>
      <c r="L125" s="10" t="s">
        <v>92</v>
      </c>
      <c r="M125" s="31">
        <v>942.9343300813008</v>
      </c>
      <c r="N125" s="36">
        <v>572.07171186991877</v>
      </c>
      <c r="O125" s="12">
        <f t="shared" si="8"/>
        <v>6500</v>
      </c>
      <c r="P125" s="68" t="s">
        <v>196</v>
      </c>
      <c r="R125" s="58">
        <f t="shared" si="12"/>
        <v>0</v>
      </c>
      <c r="S125" s="5"/>
      <c r="T125" s="6"/>
      <c r="U125" s="7"/>
      <c r="V125" s="8"/>
      <c r="W125" s="8"/>
      <c r="X125" s="47"/>
      <c r="Y125" s="13"/>
      <c r="Z125" s="57"/>
    </row>
    <row r="126" spans="2:26" x14ac:dyDescent="0.35">
      <c r="B126" s="48">
        <v>46262</v>
      </c>
      <c r="C126" s="8" t="s">
        <v>118</v>
      </c>
      <c r="D126" s="27" t="s">
        <v>6</v>
      </c>
      <c r="E126" s="67" t="s">
        <v>90</v>
      </c>
      <c r="F126" s="67" t="s">
        <v>91</v>
      </c>
      <c r="G126" s="25">
        <f t="shared" si="15"/>
        <v>5990.1517629268292</v>
      </c>
      <c r="H126" s="13">
        <f t="shared" si="6"/>
        <v>4705.4616457814827</v>
      </c>
      <c r="I126" s="9">
        <v>0.12</v>
      </c>
      <c r="J126" s="16">
        <f t="shared" si="13"/>
        <v>9.2499999999999995E-3</v>
      </c>
      <c r="K126" s="10" t="s">
        <v>18</v>
      </c>
      <c r="L126" s="11" t="s">
        <v>92</v>
      </c>
      <c r="M126" s="31">
        <v>1026.9603073170733</v>
      </c>
      <c r="N126" s="36">
        <v>517.11207024390251</v>
      </c>
      <c r="O126" s="12">
        <f t="shared" si="8"/>
        <v>6500</v>
      </c>
      <c r="P126" s="68" t="s">
        <v>196</v>
      </c>
      <c r="R126" s="58">
        <f t="shared" si="12"/>
        <v>0</v>
      </c>
      <c r="S126" s="5"/>
      <c r="T126" s="6"/>
      <c r="U126" s="7"/>
      <c r="V126" s="8"/>
      <c r="W126" s="8"/>
      <c r="X126" s="47"/>
      <c r="Y126" s="13"/>
      <c r="Z126" s="57"/>
    </row>
    <row r="127" spans="2:26" x14ac:dyDescent="0.35">
      <c r="B127" s="48">
        <v>46262</v>
      </c>
      <c r="C127" s="6" t="s">
        <v>119</v>
      </c>
      <c r="D127" s="27" t="s">
        <v>6</v>
      </c>
      <c r="E127" s="67" t="s">
        <v>90</v>
      </c>
      <c r="F127" s="67" t="s">
        <v>91</v>
      </c>
      <c r="G127" s="25">
        <f t="shared" si="15"/>
        <v>6162.7118930081306</v>
      </c>
      <c r="H127" s="13">
        <f t="shared" si="6"/>
        <v>4706.1388716884758</v>
      </c>
      <c r="I127" s="9">
        <v>0.12</v>
      </c>
      <c r="J127" s="16">
        <f t="shared" si="13"/>
        <v>9.2499999999999995E-3</v>
      </c>
      <c r="K127" s="10" t="s">
        <v>18</v>
      </c>
      <c r="L127" s="11" t="s">
        <v>92</v>
      </c>
      <c r="M127" s="31">
        <v>1004.1712263414634</v>
      </c>
      <c r="N127" s="36">
        <v>666.88311934959358</v>
      </c>
      <c r="O127" s="12">
        <f t="shared" si="8"/>
        <v>6500</v>
      </c>
      <c r="P127" s="68" t="s">
        <v>196</v>
      </c>
      <c r="R127" s="58">
        <f t="shared" si="12"/>
        <v>0</v>
      </c>
      <c r="S127" s="5"/>
      <c r="T127" s="6"/>
      <c r="U127" s="7"/>
      <c r="V127" s="8"/>
      <c r="W127" s="8"/>
      <c r="X127" s="47"/>
      <c r="Y127" s="13"/>
      <c r="Z127" s="57"/>
    </row>
    <row r="128" spans="2:26" x14ac:dyDescent="0.35">
      <c r="B128" s="48">
        <v>46262</v>
      </c>
      <c r="C128" s="8" t="s">
        <v>152</v>
      </c>
      <c r="D128" s="27" t="s">
        <v>0</v>
      </c>
      <c r="E128" s="67" t="s">
        <v>90</v>
      </c>
      <c r="F128" s="67" t="s">
        <v>91</v>
      </c>
      <c r="G128" s="25">
        <f t="shared" si="15"/>
        <v>6271.8008695934959</v>
      </c>
      <c r="H128" s="13">
        <f t="shared" si="6"/>
        <v>4622.0019406353304</v>
      </c>
      <c r="I128" s="9">
        <v>0.12</v>
      </c>
      <c r="J128" s="16">
        <f t="shared" si="13"/>
        <v>9.2499999999999995E-3</v>
      </c>
      <c r="K128" s="10" t="s">
        <v>18</v>
      </c>
      <c r="L128" s="10" t="s">
        <v>92</v>
      </c>
      <c r="M128" s="31">
        <v>1074.3294959349594</v>
      </c>
      <c r="N128" s="36">
        <v>846.1303655284554</v>
      </c>
      <c r="O128" s="12">
        <f t="shared" si="8"/>
        <v>6500</v>
      </c>
      <c r="P128" s="68" t="s">
        <v>196</v>
      </c>
      <c r="R128" s="58">
        <f t="shared" si="12"/>
        <v>0</v>
      </c>
      <c r="S128" s="5"/>
      <c r="T128" s="6"/>
      <c r="U128" s="7"/>
      <c r="V128" s="8"/>
      <c r="W128" s="8"/>
      <c r="X128" s="47"/>
      <c r="Y128" s="13"/>
      <c r="Z128" s="57"/>
    </row>
    <row r="129" spans="2:26" x14ac:dyDescent="0.35">
      <c r="B129" s="48">
        <v>46262</v>
      </c>
      <c r="C129" s="8" t="s">
        <v>145</v>
      </c>
      <c r="D129" s="27" t="s">
        <v>0</v>
      </c>
      <c r="E129" s="67" t="s">
        <v>90</v>
      </c>
      <c r="F129" s="67" t="s">
        <v>91</v>
      </c>
      <c r="G129" s="25">
        <f t="shared" si="15"/>
        <v>6519.3165951219517</v>
      </c>
      <c r="H129" s="13">
        <f t="shared" si="6"/>
        <v>4651.9223357287165</v>
      </c>
      <c r="I129" s="9">
        <v>0.12</v>
      </c>
      <c r="J129" s="16">
        <f t="shared" si="13"/>
        <v>9.2499999999999995E-3</v>
      </c>
      <c r="K129" s="10" t="s">
        <v>18</v>
      </c>
      <c r="L129" s="10" t="s">
        <v>92</v>
      </c>
      <c r="M129" s="31">
        <v>1012.6924357723577</v>
      </c>
      <c r="N129" s="36">
        <v>1032.009030894309</v>
      </c>
      <c r="O129" s="12">
        <f t="shared" si="8"/>
        <v>6500</v>
      </c>
      <c r="P129" s="68" t="s">
        <v>196</v>
      </c>
      <c r="R129" s="58">
        <f t="shared" si="12"/>
        <v>0</v>
      </c>
      <c r="S129" s="5"/>
      <c r="T129" s="6"/>
      <c r="U129" s="7"/>
      <c r="V129" s="8"/>
      <c r="W129" s="8"/>
      <c r="X129" s="47"/>
      <c r="Y129" s="13"/>
      <c r="Z129" s="57"/>
    </row>
    <row r="130" spans="2:26" x14ac:dyDescent="0.35">
      <c r="B130" s="48">
        <v>46262</v>
      </c>
      <c r="C130" s="8" t="s">
        <v>144</v>
      </c>
      <c r="D130" s="27" t="s">
        <v>0</v>
      </c>
      <c r="E130" s="67" t="s">
        <v>90</v>
      </c>
      <c r="F130" s="67" t="s">
        <v>91</v>
      </c>
      <c r="G130" s="25">
        <f t="shared" si="15"/>
        <v>6211.2499082926834</v>
      </c>
      <c r="H130" s="13">
        <f t="shared" si="6"/>
        <v>4506.0896113855224</v>
      </c>
      <c r="I130" s="9">
        <v>0.12</v>
      </c>
      <c r="J130" s="16">
        <f t="shared" si="13"/>
        <v>9.2499999999999995E-3</v>
      </c>
      <c r="K130" s="10" t="s">
        <v>18</v>
      </c>
      <c r="L130" s="10" t="s">
        <v>92</v>
      </c>
      <c r="M130" s="31">
        <v>1198.0008253658536</v>
      </c>
      <c r="N130" s="36">
        <v>909.25073365853666</v>
      </c>
      <c r="O130" s="12">
        <f t="shared" si="8"/>
        <v>6500</v>
      </c>
      <c r="P130" s="68" t="s">
        <v>196</v>
      </c>
      <c r="R130" s="58">
        <f t="shared" si="12"/>
        <v>0</v>
      </c>
      <c r="S130" s="5"/>
      <c r="T130" s="6"/>
      <c r="U130" s="7"/>
      <c r="V130" s="8"/>
      <c r="W130" s="8"/>
      <c r="X130" s="47"/>
      <c r="Y130" s="13"/>
      <c r="Z130" s="57"/>
    </row>
    <row r="131" spans="2:26" x14ac:dyDescent="0.35">
      <c r="B131" s="48">
        <v>46262</v>
      </c>
      <c r="C131" s="8" t="s">
        <v>143</v>
      </c>
      <c r="D131" s="27" t="s">
        <v>0</v>
      </c>
      <c r="E131" s="67" t="s">
        <v>90</v>
      </c>
      <c r="F131" s="67" t="s">
        <v>91</v>
      </c>
      <c r="G131" s="25">
        <f t="shared" si="15"/>
        <v>6267.7536422764233</v>
      </c>
      <c r="H131" s="13">
        <f t="shared" ref="H131:H194" si="16">((G131))*(1-I131)*(1-J131)-N131</f>
        <v>4684.157612506342</v>
      </c>
      <c r="I131" s="9">
        <v>0.12</v>
      </c>
      <c r="J131" s="16">
        <f t="shared" si="13"/>
        <v>9.2499999999999995E-3</v>
      </c>
      <c r="K131" s="10" t="s">
        <v>18</v>
      </c>
      <c r="L131" s="10" t="s">
        <v>92</v>
      </c>
      <c r="M131" s="31">
        <v>1012.6924357723577</v>
      </c>
      <c r="N131" s="36">
        <v>780.44607804878046</v>
      </c>
      <c r="O131" s="12">
        <f t="shared" ref="O131:O194" si="17">IF(I131=0,((G131+M131-N131)/(1-J131))/0.88,(G131+M131-N131))</f>
        <v>6500</v>
      </c>
      <c r="P131" s="68" t="s">
        <v>196</v>
      </c>
      <c r="R131" s="58">
        <f t="shared" si="12"/>
        <v>0</v>
      </c>
      <c r="S131" s="5"/>
      <c r="T131" s="6"/>
      <c r="U131" s="7"/>
      <c r="V131" s="8"/>
      <c r="W131" s="8"/>
      <c r="X131" s="47"/>
      <c r="Y131" s="13"/>
      <c r="Z131" s="57"/>
    </row>
    <row r="132" spans="2:26" x14ac:dyDescent="0.35">
      <c r="B132" s="48">
        <v>46262</v>
      </c>
      <c r="C132" s="8" t="s">
        <v>142</v>
      </c>
      <c r="D132" s="27" t="s">
        <v>7</v>
      </c>
      <c r="E132" s="67" t="s">
        <v>90</v>
      </c>
      <c r="F132" s="67" t="s">
        <v>91</v>
      </c>
      <c r="G132" s="25">
        <f>6500-M132+N132</f>
        <v>6126.2165154471541</v>
      </c>
      <c r="H132" s="13">
        <f t="shared" si="16"/>
        <v>4803.3731311577558</v>
      </c>
      <c r="I132" s="9">
        <v>0.12</v>
      </c>
      <c r="J132" s="16">
        <f t="shared" si="13"/>
        <v>9.2499999999999995E-3</v>
      </c>
      <c r="K132" s="10" t="s">
        <v>18</v>
      </c>
      <c r="L132" s="10" t="s">
        <v>92</v>
      </c>
      <c r="M132" s="31">
        <v>911.61348455284553</v>
      </c>
      <c r="N132" s="36">
        <v>537.83000000000004</v>
      </c>
      <c r="O132" s="12">
        <f t="shared" si="17"/>
        <v>6500</v>
      </c>
      <c r="P132" s="68" t="s">
        <v>196</v>
      </c>
      <c r="R132" s="58">
        <f t="shared" si="12"/>
        <v>0</v>
      </c>
      <c r="S132" s="5"/>
      <c r="T132" s="6"/>
      <c r="U132" s="7"/>
      <c r="V132" s="8"/>
      <c r="W132" s="8"/>
      <c r="X132" s="47"/>
      <c r="Y132" s="13"/>
      <c r="Z132" s="57"/>
    </row>
    <row r="133" spans="2:26" x14ac:dyDescent="0.35">
      <c r="B133" s="48">
        <v>46262</v>
      </c>
      <c r="C133" s="8" t="s">
        <v>128</v>
      </c>
      <c r="D133" s="27" t="s">
        <v>15</v>
      </c>
      <c r="E133" s="67" t="s">
        <v>93</v>
      </c>
      <c r="F133" s="67" t="s">
        <v>94</v>
      </c>
      <c r="G133" s="25">
        <f t="shared" ref="G133:G159" si="18">(6500-70)</f>
        <v>6430</v>
      </c>
      <c r="H133" s="13">
        <f t="shared" si="16"/>
        <v>4436.5328865040647</v>
      </c>
      <c r="I133" s="53">
        <v>0.12</v>
      </c>
      <c r="J133" s="54">
        <v>0</v>
      </c>
      <c r="K133" s="55" t="s">
        <v>18</v>
      </c>
      <c r="L133" s="55" t="s">
        <v>92</v>
      </c>
      <c r="M133" s="31">
        <v>1439.1768234146339</v>
      </c>
      <c r="N133" s="36">
        <v>1221.8671134959347</v>
      </c>
      <c r="O133" s="12">
        <f t="shared" si="17"/>
        <v>6647.3097099186989</v>
      </c>
      <c r="P133" s="68" t="s">
        <v>196</v>
      </c>
      <c r="R133" s="58">
        <f t="shared" ref="R133:R164" si="19">IFERROR(H133/Y133-1,0)</f>
        <v>0</v>
      </c>
      <c r="S133" s="5"/>
      <c r="T133" s="6"/>
      <c r="U133" s="7"/>
      <c r="V133" s="8"/>
      <c r="W133" s="8"/>
      <c r="X133" s="47"/>
      <c r="Y133" s="13"/>
      <c r="Z133" s="57"/>
    </row>
    <row r="134" spans="2:26" x14ac:dyDescent="0.35">
      <c r="B134" s="48">
        <v>46262</v>
      </c>
      <c r="C134" s="8" t="s">
        <v>114</v>
      </c>
      <c r="D134" s="27" t="s">
        <v>5</v>
      </c>
      <c r="E134" s="67" t="s">
        <v>93</v>
      </c>
      <c r="F134" s="67" t="s">
        <v>94</v>
      </c>
      <c r="G134" s="25">
        <f t="shared" si="18"/>
        <v>6430</v>
      </c>
      <c r="H134" s="52">
        <f t="shared" si="16"/>
        <v>4982.9936650406498</v>
      </c>
      <c r="I134" s="53">
        <v>0.12</v>
      </c>
      <c r="J134" s="54">
        <v>0</v>
      </c>
      <c r="K134" s="55" t="s">
        <v>18</v>
      </c>
      <c r="L134" s="55" t="s">
        <v>92</v>
      </c>
      <c r="M134" s="31">
        <v>662.70499512195113</v>
      </c>
      <c r="N134" s="36">
        <v>675.40633495934958</v>
      </c>
      <c r="O134" s="12">
        <f t="shared" si="17"/>
        <v>6417.2986601626017</v>
      </c>
      <c r="P134" s="68" t="s">
        <v>196</v>
      </c>
      <c r="R134" s="58">
        <f t="shared" si="19"/>
        <v>0</v>
      </c>
      <c r="S134" s="5"/>
      <c r="T134" s="6"/>
      <c r="U134" s="7"/>
      <c r="V134" s="8"/>
      <c r="W134" s="8"/>
      <c r="X134" s="47"/>
      <c r="Y134" s="13"/>
      <c r="Z134" s="57"/>
    </row>
    <row r="135" spans="2:26" x14ac:dyDescent="0.35">
      <c r="B135" s="48">
        <v>46262</v>
      </c>
      <c r="C135" s="8" t="s">
        <v>98</v>
      </c>
      <c r="D135" s="27" t="s">
        <v>4</v>
      </c>
      <c r="E135" s="67" t="s">
        <v>93</v>
      </c>
      <c r="F135" s="67" t="s">
        <v>94</v>
      </c>
      <c r="G135" s="25">
        <f t="shared" si="18"/>
        <v>6430</v>
      </c>
      <c r="H135" s="52">
        <f t="shared" si="16"/>
        <v>5326.1187121951216</v>
      </c>
      <c r="I135" s="53">
        <v>0.12</v>
      </c>
      <c r="J135" s="54">
        <v>0</v>
      </c>
      <c r="K135" s="55" t="s">
        <v>18</v>
      </c>
      <c r="L135" s="55" t="s">
        <v>92</v>
      </c>
      <c r="M135" s="31">
        <v>489.18180975609749</v>
      </c>
      <c r="N135" s="36">
        <v>332.28128780487805</v>
      </c>
      <c r="O135" s="12">
        <f t="shared" si="17"/>
        <v>6586.9005219512192</v>
      </c>
      <c r="P135" s="68" t="s">
        <v>196</v>
      </c>
      <c r="R135" s="58">
        <f t="shared" si="19"/>
        <v>0</v>
      </c>
      <c r="S135" s="5"/>
      <c r="T135" s="6"/>
      <c r="U135" s="7"/>
      <c r="V135" s="8"/>
      <c r="W135" s="8"/>
      <c r="X135" s="47"/>
      <c r="Y135" s="13"/>
      <c r="Z135" s="57"/>
    </row>
    <row r="136" spans="2:26" x14ac:dyDescent="0.35">
      <c r="B136" s="48">
        <v>46262</v>
      </c>
      <c r="C136" s="8" t="s">
        <v>99</v>
      </c>
      <c r="D136" s="27" t="s">
        <v>4</v>
      </c>
      <c r="E136" s="67" t="s">
        <v>93</v>
      </c>
      <c r="F136" s="67" t="s">
        <v>94</v>
      </c>
      <c r="G136" s="25">
        <f t="shared" si="18"/>
        <v>6430</v>
      </c>
      <c r="H136" s="52">
        <f t="shared" si="16"/>
        <v>5149.9199609756097</v>
      </c>
      <c r="I136" s="53">
        <v>0.12</v>
      </c>
      <c r="J136" s="54">
        <v>0</v>
      </c>
      <c r="K136" s="55" t="s">
        <v>18</v>
      </c>
      <c r="L136" s="55" t="s">
        <v>92</v>
      </c>
      <c r="M136" s="31">
        <v>564.75200292682928</v>
      </c>
      <c r="N136" s="36">
        <v>508.48003902439024</v>
      </c>
      <c r="O136" s="12">
        <f t="shared" si="17"/>
        <v>6486.271963902439</v>
      </c>
      <c r="P136" s="68" t="s">
        <v>196</v>
      </c>
      <c r="R136" s="58">
        <f t="shared" si="19"/>
        <v>0</v>
      </c>
      <c r="S136" s="5"/>
      <c r="T136" s="6"/>
      <c r="U136" s="7"/>
      <c r="V136" s="8"/>
      <c r="W136" s="8"/>
      <c r="X136" s="47"/>
      <c r="Y136" s="13"/>
      <c r="Z136" s="57"/>
    </row>
    <row r="137" spans="2:26" x14ac:dyDescent="0.35">
      <c r="B137" s="48">
        <v>46262</v>
      </c>
      <c r="C137" s="6" t="s">
        <v>97</v>
      </c>
      <c r="D137" s="27" t="s">
        <v>4</v>
      </c>
      <c r="E137" s="67" t="s">
        <v>93</v>
      </c>
      <c r="F137" s="67" t="s">
        <v>94</v>
      </c>
      <c r="G137" s="25">
        <f t="shared" si="18"/>
        <v>6430</v>
      </c>
      <c r="H137" s="52">
        <f t="shared" si="16"/>
        <v>5312.7841365853656</v>
      </c>
      <c r="I137" s="53">
        <v>0.12</v>
      </c>
      <c r="J137" s="54">
        <v>0</v>
      </c>
      <c r="K137" s="55" t="s">
        <v>18</v>
      </c>
      <c r="L137" s="55" t="s">
        <v>92</v>
      </c>
      <c r="M137" s="31">
        <v>493.74063902439019</v>
      </c>
      <c r="N137" s="36">
        <v>345.61586341463413</v>
      </c>
      <c r="O137" s="12">
        <f t="shared" si="17"/>
        <v>6578.1247756097564</v>
      </c>
      <c r="P137" s="68" t="s">
        <v>196</v>
      </c>
      <c r="R137" s="58">
        <f t="shared" si="19"/>
        <v>0</v>
      </c>
      <c r="S137" s="5"/>
      <c r="T137" s="6"/>
      <c r="U137" s="7"/>
      <c r="V137" s="8"/>
      <c r="W137" s="8"/>
      <c r="X137" s="47"/>
      <c r="Y137" s="13"/>
      <c r="Z137" s="57"/>
    </row>
    <row r="138" spans="2:26" x14ac:dyDescent="0.35">
      <c r="B138" s="48">
        <v>46262</v>
      </c>
      <c r="C138" s="6" t="s">
        <v>102</v>
      </c>
      <c r="D138" s="27" t="s">
        <v>2</v>
      </c>
      <c r="E138" s="67" t="s">
        <v>93</v>
      </c>
      <c r="F138" s="67" t="s">
        <v>94</v>
      </c>
      <c r="G138" s="25">
        <f t="shared" si="18"/>
        <v>6430</v>
      </c>
      <c r="H138" s="52">
        <f t="shared" si="16"/>
        <v>5340.034434471544</v>
      </c>
      <c r="I138" s="53">
        <v>0.12</v>
      </c>
      <c r="J138" s="54">
        <v>0</v>
      </c>
      <c r="K138" s="55" t="s">
        <v>18</v>
      </c>
      <c r="L138" s="55" t="s">
        <v>92</v>
      </c>
      <c r="M138" s="31">
        <v>484.76667186991864</v>
      </c>
      <c r="N138" s="36">
        <v>318.36556552845536</v>
      </c>
      <c r="O138" s="12">
        <f t="shared" si="17"/>
        <v>6596.4011063414628</v>
      </c>
      <c r="P138" s="68" t="s">
        <v>196</v>
      </c>
      <c r="R138" s="58">
        <f t="shared" si="19"/>
        <v>0</v>
      </c>
      <c r="S138" s="5"/>
      <c r="T138" s="6"/>
      <c r="U138" s="7"/>
      <c r="V138" s="8"/>
      <c r="W138" s="8"/>
      <c r="X138" s="47"/>
      <c r="Y138" s="13"/>
      <c r="Z138" s="57"/>
    </row>
    <row r="139" spans="2:26" x14ac:dyDescent="0.35">
      <c r="B139" s="48">
        <v>46262</v>
      </c>
      <c r="C139" s="6" t="s">
        <v>163</v>
      </c>
      <c r="D139" s="27" t="s">
        <v>2</v>
      </c>
      <c r="E139" s="67" t="s">
        <v>93</v>
      </c>
      <c r="F139" s="67" t="s">
        <v>94</v>
      </c>
      <c r="G139" s="25">
        <f t="shared" si="18"/>
        <v>6430</v>
      </c>
      <c r="H139" s="52">
        <f t="shared" si="16"/>
        <v>5377.2576975609754</v>
      </c>
      <c r="I139" s="53">
        <v>0.12</v>
      </c>
      <c r="J139" s="54">
        <v>0</v>
      </c>
      <c r="K139" s="55" t="s">
        <v>18</v>
      </c>
      <c r="L139" s="55" t="s">
        <v>92</v>
      </c>
      <c r="M139" s="31">
        <v>445.71607804878045</v>
      </c>
      <c r="N139" s="36">
        <v>281.14230243902438</v>
      </c>
      <c r="O139" s="12">
        <f t="shared" si="17"/>
        <v>6594.573775609756</v>
      </c>
      <c r="P139" s="68" t="s">
        <v>196</v>
      </c>
      <c r="R139" s="58">
        <f t="shared" si="19"/>
        <v>0</v>
      </c>
      <c r="S139" s="5"/>
      <c r="T139" s="6"/>
      <c r="U139" s="7"/>
      <c r="V139" s="8"/>
      <c r="W139" s="8"/>
      <c r="X139" s="47"/>
      <c r="Y139" s="13"/>
      <c r="Z139" s="57"/>
    </row>
    <row r="140" spans="2:26" x14ac:dyDescent="0.35">
      <c r="B140" s="48">
        <v>46262</v>
      </c>
      <c r="C140" s="6" t="s">
        <v>164</v>
      </c>
      <c r="D140" s="27" t="s">
        <v>2</v>
      </c>
      <c r="E140" s="67" t="s">
        <v>93</v>
      </c>
      <c r="F140" s="67" t="s">
        <v>94</v>
      </c>
      <c r="G140" s="25">
        <f t="shared" si="18"/>
        <v>6430</v>
      </c>
      <c r="H140" s="52">
        <f t="shared" si="16"/>
        <v>5377.2576975609754</v>
      </c>
      <c r="I140" s="53">
        <v>0.12</v>
      </c>
      <c r="J140" s="54">
        <v>0</v>
      </c>
      <c r="K140" s="55" t="s">
        <v>18</v>
      </c>
      <c r="L140" s="55" t="s">
        <v>92</v>
      </c>
      <c r="M140" s="31">
        <v>445.71607804878045</v>
      </c>
      <c r="N140" s="36">
        <v>281.14230243902438</v>
      </c>
      <c r="O140" s="12">
        <f t="shared" si="17"/>
        <v>6594.573775609756</v>
      </c>
      <c r="P140" s="68" t="s">
        <v>196</v>
      </c>
      <c r="R140" s="58">
        <f t="shared" si="19"/>
        <v>0</v>
      </c>
      <c r="S140" s="5"/>
      <c r="T140" s="6"/>
      <c r="U140" s="7"/>
      <c r="V140" s="8"/>
      <c r="W140" s="8"/>
      <c r="X140" s="47"/>
      <c r="Y140" s="13"/>
      <c r="Z140" s="57"/>
    </row>
    <row r="141" spans="2:26" x14ac:dyDescent="0.35">
      <c r="B141" s="48">
        <v>46262</v>
      </c>
      <c r="C141" s="6" t="s">
        <v>100</v>
      </c>
      <c r="D141" s="27" t="s">
        <v>2</v>
      </c>
      <c r="E141" s="67" t="s">
        <v>93</v>
      </c>
      <c r="F141" s="67" t="s">
        <v>94</v>
      </c>
      <c r="G141" s="25">
        <f t="shared" si="18"/>
        <v>6430</v>
      </c>
      <c r="H141" s="52">
        <f t="shared" si="16"/>
        <v>5365.2272669918693</v>
      </c>
      <c r="I141" s="53">
        <v>0.12</v>
      </c>
      <c r="J141" s="54">
        <v>0</v>
      </c>
      <c r="K141" s="55" t="s">
        <v>18</v>
      </c>
      <c r="L141" s="55" t="s">
        <v>92</v>
      </c>
      <c r="M141" s="31">
        <v>438.92450211382118</v>
      </c>
      <c r="N141" s="36">
        <v>293.17273300813008</v>
      </c>
      <c r="O141" s="12">
        <f t="shared" si="17"/>
        <v>6575.751769105691</v>
      </c>
      <c r="P141" s="68" t="s">
        <v>196</v>
      </c>
      <c r="R141" s="58">
        <f t="shared" si="19"/>
        <v>0</v>
      </c>
      <c r="S141" s="5"/>
      <c r="T141" s="6"/>
      <c r="U141" s="7"/>
      <c r="V141" s="8"/>
      <c r="W141" s="8"/>
      <c r="X141" s="47"/>
      <c r="Y141" s="13"/>
      <c r="Z141" s="57"/>
    </row>
    <row r="142" spans="2:26" x14ac:dyDescent="0.35">
      <c r="B142" s="48">
        <v>46262</v>
      </c>
      <c r="C142" s="6" t="s">
        <v>147</v>
      </c>
      <c r="D142" s="27" t="s">
        <v>1</v>
      </c>
      <c r="E142" s="67" t="s">
        <v>93</v>
      </c>
      <c r="F142" s="67" t="s">
        <v>94</v>
      </c>
      <c r="G142" s="25">
        <f t="shared" si="18"/>
        <v>6430</v>
      </c>
      <c r="H142" s="13">
        <f t="shared" si="16"/>
        <v>5233.7585599999993</v>
      </c>
      <c r="I142" s="53">
        <v>0.12</v>
      </c>
      <c r="J142" s="54">
        <v>0</v>
      </c>
      <c r="K142" s="55" t="s">
        <v>18</v>
      </c>
      <c r="L142" s="55" t="s">
        <v>92</v>
      </c>
      <c r="M142" s="31">
        <v>583.38495121951212</v>
      </c>
      <c r="N142" s="36">
        <v>424.64144000000005</v>
      </c>
      <c r="O142" s="12">
        <f t="shared" si="17"/>
        <v>6588.7435112195117</v>
      </c>
      <c r="P142" s="68" t="s">
        <v>196</v>
      </c>
      <c r="R142" s="58">
        <f t="shared" si="19"/>
        <v>0</v>
      </c>
      <c r="S142" s="5"/>
      <c r="T142" s="6"/>
      <c r="U142" s="7"/>
      <c r="V142" s="8"/>
      <c r="W142" s="8"/>
      <c r="X142" s="47"/>
      <c r="Y142" s="13"/>
      <c r="Z142" s="57"/>
    </row>
    <row r="143" spans="2:26" x14ac:dyDescent="0.35">
      <c r="B143" s="48">
        <v>46262</v>
      </c>
      <c r="C143" s="6" t="s">
        <v>105</v>
      </c>
      <c r="D143" s="27" t="s">
        <v>1</v>
      </c>
      <c r="E143" s="67" t="s">
        <v>93</v>
      </c>
      <c r="F143" s="67" t="s">
        <v>94</v>
      </c>
      <c r="G143" s="25">
        <f t="shared" si="18"/>
        <v>6430</v>
      </c>
      <c r="H143" s="13">
        <f t="shared" si="16"/>
        <v>5200.1574556097557</v>
      </c>
      <c r="I143" s="53">
        <v>0.12</v>
      </c>
      <c r="J143" s="54">
        <v>0</v>
      </c>
      <c r="K143" s="55" t="s">
        <v>18</v>
      </c>
      <c r="L143" s="55" t="s">
        <v>92</v>
      </c>
      <c r="M143" s="31">
        <v>608.76454471544707</v>
      </c>
      <c r="N143" s="36">
        <v>458.24254439024389</v>
      </c>
      <c r="O143" s="12">
        <f t="shared" si="17"/>
        <v>6580.5220003252034</v>
      </c>
      <c r="P143" s="68" t="s">
        <v>196</v>
      </c>
      <c r="R143" s="58">
        <f t="shared" si="19"/>
        <v>0</v>
      </c>
      <c r="S143" s="5"/>
      <c r="T143" s="6"/>
      <c r="U143" s="7"/>
      <c r="V143" s="8"/>
      <c r="W143" s="8"/>
      <c r="X143" s="47"/>
      <c r="Y143" s="13"/>
      <c r="Z143" s="57"/>
    </row>
    <row r="144" spans="2:26" x14ac:dyDescent="0.35">
      <c r="B144" s="48">
        <v>46262</v>
      </c>
      <c r="C144" s="6" t="s">
        <v>149</v>
      </c>
      <c r="D144" s="27" t="s">
        <v>1</v>
      </c>
      <c r="E144" s="67" t="s">
        <v>93</v>
      </c>
      <c r="F144" s="67" t="s">
        <v>94</v>
      </c>
      <c r="G144" s="25">
        <f t="shared" si="18"/>
        <v>6430</v>
      </c>
      <c r="H144" s="13">
        <f t="shared" si="16"/>
        <v>5051.2857970731702</v>
      </c>
      <c r="I144" s="53">
        <v>0.12</v>
      </c>
      <c r="J144" s="54">
        <v>0</v>
      </c>
      <c r="K144" s="55" t="s">
        <v>18</v>
      </c>
      <c r="L144" s="55" t="s">
        <v>92</v>
      </c>
      <c r="M144" s="31">
        <v>786.43704585365845</v>
      </c>
      <c r="N144" s="36">
        <v>607.11420292682908</v>
      </c>
      <c r="O144" s="12">
        <f t="shared" si="17"/>
        <v>6609.3228429268293</v>
      </c>
      <c r="P144" s="68" t="s">
        <v>196</v>
      </c>
      <c r="R144" s="58">
        <f t="shared" si="19"/>
        <v>0</v>
      </c>
      <c r="S144" s="5"/>
      <c r="T144" s="6"/>
      <c r="U144" s="7"/>
      <c r="V144" s="8"/>
      <c r="W144" s="8"/>
      <c r="X144" s="47"/>
      <c r="Y144" s="13"/>
      <c r="Z144" s="57"/>
    </row>
    <row r="145" spans="2:26" x14ac:dyDescent="0.35">
      <c r="B145" s="48">
        <v>46262</v>
      </c>
      <c r="C145" s="6" t="s">
        <v>109</v>
      </c>
      <c r="D145" s="27" t="s">
        <v>1</v>
      </c>
      <c r="E145" s="67" t="s">
        <v>93</v>
      </c>
      <c r="F145" s="67" t="s">
        <v>94</v>
      </c>
      <c r="G145" s="25">
        <f t="shared" si="18"/>
        <v>6430</v>
      </c>
      <c r="H145" s="13">
        <f t="shared" si="16"/>
        <v>4990.5986439024382</v>
      </c>
      <c r="I145" s="53">
        <v>0.12</v>
      </c>
      <c r="J145" s="54">
        <v>0</v>
      </c>
      <c r="K145" s="55" t="s">
        <v>18</v>
      </c>
      <c r="L145" s="55" t="s">
        <v>92</v>
      </c>
      <c r="M145" s="31">
        <v>836.82715447154465</v>
      </c>
      <c r="N145" s="36">
        <v>667.80135609756098</v>
      </c>
      <c r="O145" s="12">
        <f t="shared" si="17"/>
        <v>6599.025798373983</v>
      </c>
      <c r="P145" s="68" t="s">
        <v>196</v>
      </c>
      <c r="R145" s="58">
        <f t="shared" si="19"/>
        <v>0</v>
      </c>
      <c r="S145" s="5"/>
      <c r="T145" s="6"/>
      <c r="U145" s="7"/>
      <c r="V145" s="8"/>
      <c r="W145" s="8"/>
      <c r="X145" s="47"/>
      <c r="Y145" s="13"/>
      <c r="Z145" s="57"/>
    </row>
    <row r="146" spans="2:26" x14ac:dyDescent="0.35">
      <c r="B146" s="48">
        <v>46262</v>
      </c>
      <c r="C146" s="6" t="s">
        <v>110</v>
      </c>
      <c r="D146" s="27" t="s">
        <v>1</v>
      </c>
      <c r="E146" s="67" t="s">
        <v>93</v>
      </c>
      <c r="F146" s="67" t="s">
        <v>94</v>
      </c>
      <c r="G146" s="25">
        <f t="shared" si="18"/>
        <v>6430</v>
      </c>
      <c r="H146" s="13">
        <f t="shared" si="16"/>
        <v>4958.2710399999996</v>
      </c>
      <c r="I146" s="53">
        <v>0.12</v>
      </c>
      <c r="J146" s="54">
        <v>0</v>
      </c>
      <c r="K146" s="55" t="s">
        <v>18</v>
      </c>
      <c r="L146" s="55" t="s">
        <v>92</v>
      </c>
      <c r="M146" s="31">
        <v>866.50006796747971</v>
      </c>
      <c r="N146" s="36">
        <v>700.12896000000001</v>
      </c>
      <c r="O146" s="12">
        <f t="shared" si="17"/>
        <v>6596.3711079674795</v>
      </c>
      <c r="P146" s="68" t="s">
        <v>196</v>
      </c>
      <c r="R146" s="58">
        <f t="shared" si="19"/>
        <v>0</v>
      </c>
      <c r="S146" s="5"/>
      <c r="T146" s="6"/>
      <c r="U146" s="7"/>
      <c r="V146" s="8"/>
      <c r="W146" s="8"/>
      <c r="X146" s="47"/>
      <c r="Y146" s="13"/>
      <c r="Z146" s="57"/>
    </row>
    <row r="147" spans="2:26" x14ac:dyDescent="0.35">
      <c r="B147" s="48">
        <v>46262</v>
      </c>
      <c r="C147" s="6" t="s">
        <v>111</v>
      </c>
      <c r="D147" s="27" t="s">
        <v>1</v>
      </c>
      <c r="E147" s="67" t="s">
        <v>93</v>
      </c>
      <c r="F147" s="67" t="s">
        <v>94</v>
      </c>
      <c r="G147" s="25">
        <f t="shared" si="18"/>
        <v>6430</v>
      </c>
      <c r="H147" s="13">
        <f t="shared" si="16"/>
        <v>4954.9281391869918</v>
      </c>
      <c r="I147" s="53">
        <v>0.12</v>
      </c>
      <c r="J147" s="54">
        <v>0</v>
      </c>
      <c r="K147" s="55" t="s">
        <v>18</v>
      </c>
      <c r="L147" s="55" t="s">
        <v>92</v>
      </c>
      <c r="M147" s="31">
        <v>965.39140357723568</v>
      </c>
      <c r="N147" s="36">
        <v>703.47186081300799</v>
      </c>
      <c r="O147" s="12">
        <f t="shared" si="17"/>
        <v>6691.919542764228</v>
      </c>
      <c r="P147" s="68" t="s">
        <v>196</v>
      </c>
      <c r="R147" s="58">
        <f t="shared" si="19"/>
        <v>0</v>
      </c>
      <c r="S147" s="5"/>
      <c r="T147" s="6"/>
      <c r="U147" s="7"/>
      <c r="V147" s="8"/>
      <c r="W147" s="8"/>
      <c r="X147" s="47"/>
      <c r="Y147" s="13"/>
      <c r="Z147" s="57"/>
    </row>
    <row r="148" spans="2:26" x14ac:dyDescent="0.35">
      <c r="B148" s="48">
        <v>46262</v>
      </c>
      <c r="C148" s="6" t="s">
        <v>150</v>
      </c>
      <c r="D148" s="27" t="s">
        <v>1</v>
      </c>
      <c r="E148" s="67" t="s">
        <v>93</v>
      </c>
      <c r="F148" s="67" t="s">
        <v>94</v>
      </c>
      <c r="G148" s="25">
        <f t="shared" si="18"/>
        <v>6430</v>
      </c>
      <c r="H148" s="13">
        <f t="shared" si="16"/>
        <v>4954.6100637398367</v>
      </c>
      <c r="I148" s="53">
        <v>0.12</v>
      </c>
      <c r="J148" s="54">
        <v>0</v>
      </c>
      <c r="K148" s="55" t="s">
        <v>18</v>
      </c>
      <c r="L148" s="55" t="s">
        <v>92</v>
      </c>
      <c r="M148" s="31">
        <v>876.56072845528456</v>
      </c>
      <c r="N148" s="36">
        <v>703.78993626016256</v>
      </c>
      <c r="O148" s="12">
        <f t="shared" si="17"/>
        <v>6602.7707921951214</v>
      </c>
      <c r="P148" s="68" t="s">
        <v>196</v>
      </c>
      <c r="R148" s="58">
        <f t="shared" si="19"/>
        <v>0</v>
      </c>
      <c r="S148" s="5"/>
      <c r="T148" s="6"/>
      <c r="U148" s="7"/>
      <c r="V148" s="8"/>
      <c r="W148" s="8"/>
      <c r="X148" s="47"/>
      <c r="Y148" s="13"/>
      <c r="Z148" s="57"/>
    </row>
    <row r="149" spans="2:26" x14ac:dyDescent="0.35">
      <c r="B149" s="48">
        <v>46262</v>
      </c>
      <c r="C149" s="6" t="s">
        <v>146</v>
      </c>
      <c r="D149" s="27" t="s">
        <v>1</v>
      </c>
      <c r="E149" s="67" t="s">
        <v>93</v>
      </c>
      <c r="F149" s="67" t="s">
        <v>94</v>
      </c>
      <c r="G149" s="25">
        <f t="shared" si="18"/>
        <v>6430</v>
      </c>
      <c r="H149" s="13">
        <f t="shared" si="16"/>
        <v>4888.4001014634141</v>
      </c>
      <c r="I149" s="53">
        <v>0.12</v>
      </c>
      <c r="J149" s="54">
        <v>0</v>
      </c>
      <c r="K149" s="55" t="s">
        <v>18</v>
      </c>
      <c r="L149" s="55" t="s">
        <v>92</v>
      </c>
      <c r="M149" s="31">
        <v>994.64974569105698</v>
      </c>
      <c r="N149" s="36">
        <v>769.99989853658542</v>
      </c>
      <c r="O149" s="12">
        <f t="shared" si="17"/>
        <v>6654.649847154471</v>
      </c>
      <c r="P149" s="68" t="s">
        <v>196</v>
      </c>
      <c r="R149" s="58">
        <f t="shared" si="19"/>
        <v>0</v>
      </c>
      <c r="S149" s="5"/>
      <c r="T149" s="6"/>
      <c r="U149" s="7"/>
      <c r="V149" s="8"/>
      <c r="W149" s="8"/>
      <c r="X149" s="47"/>
      <c r="Y149" s="13"/>
      <c r="Z149" s="57"/>
    </row>
    <row r="150" spans="2:26" x14ac:dyDescent="0.35">
      <c r="B150" s="48">
        <v>46262</v>
      </c>
      <c r="C150" s="6" t="s">
        <v>148</v>
      </c>
      <c r="D150" s="27" t="s">
        <v>1</v>
      </c>
      <c r="E150" s="67" t="s">
        <v>93</v>
      </c>
      <c r="F150" s="67" t="s">
        <v>94</v>
      </c>
      <c r="G150" s="25">
        <f t="shared" si="18"/>
        <v>6430</v>
      </c>
      <c r="H150" s="13">
        <f t="shared" si="16"/>
        <v>4887.1602445528451</v>
      </c>
      <c r="I150" s="53">
        <v>0.12</v>
      </c>
      <c r="J150" s="54">
        <v>0</v>
      </c>
      <c r="K150" s="55" t="s">
        <v>18</v>
      </c>
      <c r="L150" s="55" t="s">
        <v>92</v>
      </c>
      <c r="M150" s="31">
        <v>939.24825951219509</v>
      </c>
      <c r="N150" s="36">
        <v>771.23975544715438</v>
      </c>
      <c r="O150" s="12">
        <f t="shared" si="17"/>
        <v>6598.0085040650401</v>
      </c>
      <c r="P150" s="68" t="s">
        <v>196</v>
      </c>
      <c r="R150" s="58">
        <f t="shared" si="19"/>
        <v>0</v>
      </c>
      <c r="S150" s="5"/>
      <c r="T150" s="6"/>
      <c r="U150" s="7"/>
      <c r="V150" s="8"/>
      <c r="W150" s="8"/>
      <c r="X150" s="47"/>
      <c r="Y150" s="13"/>
      <c r="Z150" s="57"/>
    </row>
    <row r="151" spans="2:26" x14ac:dyDescent="0.35">
      <c r="B151" s="48">
        <v>46262</v>
      </c>
      <c r="C151" s="6" t="s">
        <v>151</v>
      </c>
      <c r="D151" s="27" t="s">
        <v>6</v>
      </c>
      <c r="E151" s="67" t="s">
        <v>93</v>
      </c>
      <c r="F151" s="67" t="s">
        <v>94</v>
      </c>
      <c r="G151" s="25">
        <f t="shared" si="18"/>
        <v>6430</v>
      </c>
      <c r="H151" s="52">
        <f t="shared" si="16"/>
        <v>4903.0956559349588</v>
      </c>
      <c r="I151" s="53">
        <v>0.12</v>
      </c>
      <c r="J151" s="54">
        <v>0</v>
      </c>
      <c r="K151" s="55" t="s">
        <v>18</v>
      </c>
      <c r="L151" s="55" t="s">
        <v>92</v>
      </c>
      <c r="M151" s="31">
        <v>891.34357886178839</v>
      </c>
      <c r="N151" s="36">
        <v>755.3043440650406</v>
      </c>
      <c r="O151" s="12">
        <f t="shared" si="17"/>
        <v>6566.0392347967472</v>
      </c>
      <c r="P151" s="68" t="s">
        <v>196</v>
      </c>
      <c r="R151" s="58">
        <f t="shared" si="19"/>
        <v>0</v>
      </c>
      <c r="S151" s="5"/>
      <c r="T151" s="6"/>
      <c r="U151" s="7"/>
      <c r="V151" s="8"/>
      <c r="W151" s="8"/>
      <c r="X151" s="47"/>
      <c r="Y151" s="13"/>
      <c r="Z151" s="57"/>
    </row>
    <row r="152" spans="2:26" x14ac:dyDescent="0.35">
      <c r="B152" s="48">
        <v>46262</v>
      </c>
      <c r="C152" s="6" t="s">
        <v>116</v>
      </c>
      <c r="D152" s="27" t="s">
        <v>6</v>
      </c>
      <c r="E152" s="67" t="s">
        <v>93</v>
      </c>
      <c r="F152" s="67" t="s">
        <v>94</v>
      </c>
      <c r="G152" s="25">
        <f t="shared" si="18"/>
        <v>6430</v>
      </c>
      <c r="H152" s="52">
        <f t="shared" si="16"/>
        <v>4725.7745040650407</v>
      </c>
      <c r="I152" s="53">
        <v>0.12</v>
      </c>
      <c r="J152" s="54">
        <v>0</v>
      </c>
      <c r="K152" s="55" t="s">
        <v>18</v>
      </c>
      <c r="L152" s="55" t="s">
        <v>92</v>
      </c>
      <c r="M152" s="31">
        <v>1089.880593495935</v>
      </c>
      <c r="N152" s="36">
        <v>932.6254959349593</v>
      </c>
      <c r="O152" s="12">
        <f t="shared" si="17"/>
        <v>6587.2550975609756</v>
      </c>
      <c r="P152" s="68" t="s">
        <v>196</v>
      </c>
      <c r="R152" s="58">
        <f t="shared" si="19"/>
        <v>0</v>
      </c>
      <c r="S152" s="5"/>
      <c r="T152" s="6"/>
      <c r="U152" s="7"/>
      <c r="V152" s="8"/>
      <c r="W152" s="8"/>
      <c r="X152" s="47"/>
      <c r="Y152" s="13"/>
      <c r="Z152" s="57"/>
    </row>
    <row r="153" spans="2:26" x14ac:dyDescent="0.35">
      <c r="B153" s="48">
        <v>46262</v>
      </c>
      <c r="C153" s="6" t="s">
        <v>117</v>
      </c>
      <c r="D153" s="27" t="s">
        <v>6</v>
      </c>
      <c r="E153" s="67" t="s">
        <v>93</v>
      </c>
      <c r="F153" s="67" t="s">
        <v>94</v>
      </c>
      <c r="G153" s="25">
        <f t="shared" si="18"/>
        <v>6430</v>
      </c>
      <c r="H153" s="52">
        <f t="shared" si="16"/>
        <v>4869.0872117073168</v>
      </c>
      <c r="I153" s="53">
        <v>0.12</v>
      </c>
      <c r="J153" s="54">
        <v>0</v>
      </c>
      <c r="K153" s="55" t="s">
        <v>18</v>
      </c>
      <c r="L153" s="55" t="s">
        <v>92</v>
      </c>
      <c r="M153" s="31">
        <v>942.9343300813008</v>
      </c>
      <c r="N153" s="36">
        <v>789.31278829268297</v>
      </c>
      <c r="O153" s="12">
        <f t="shared" si="17"/>
        <v>6583.6215417886178</v>
      </c>
      <c r="P153" s="68" t="s">
        <v>196</v>
      </c>
      <c r="R153" s="58">
        <f t="shared" si="19"/>
        <v>0</v>
      </c>
      <c r="S153" s="5"/>
      <c r="T153" s="6"/>
      <c r="U153" s="7"/>
      <c r="V153" s="8"/>
      <c r="W153" s="8"/>
      <c r="X153" s="47"/>
      <c r="Y153" s="13"/>
      <c r="Z153" s="57"/>
    </row>
    <row r="154" spans="2:26" x14ac:dyDescent="0.35">
      <c r="B154" s="48">
        <v>46262</v>
      </c>
      <c r="C154" s="6" t="s">
        <v>118</v>
      </c>
      <c r="D154" s="27" t="s">
        <v>6</v>
      </c>
      <c r="E154" s="67" t="s">
        <v>93</v>
      </c>
      <c r="F154" s="67" t="s">
        <v>94</v>
      </c>
      <c r="G154" s="25">
        <f t="shared" si="18"/>
        <v>6430</v>
      </c>
      <c r="H154" s="52">
        <f t="shared" si="16"/>
        <v>4915.1723323577235</v>
      </c>
      <c r="I154" s="53">
        <v>0.12</v>
      </c>
      <c r="J154" s="54">
        <v>0</v>
      </c>
      <c r="K154" s="55" t="s">
        <v>18</v>
      </c>
      <c r="L154" s="55" t="s">
        <v>92</v>
      </c>
      <c r="M154" s="31">
        <v>1026.9603073170733</v>
      </c>
      <c r="N154" s="36">
        <v>743.2276676422764</v>
      </c>
      <c r="O154" s="12">
        <f t="shared" si="17"/>
        <v>6713.7326396747967</v>
      </c>
      <c r="P154" s="68" t="s">
        <v>196</v>
      </c>
      <c r="R154" s="58">
        <f t="shared" si="19"/>
        <v>0</v>
      </c>
      <c r="S154" s="5"/>
      <c r="T154" s="6"/>
      <c r="U154" s="7"/>
      <c r="V154" s="8"/>
      <c r="W154" s="8"/>
      <c r="X154" s="47"/>
      <c r="Y154" s="13"/>
      <c r="Z154" s="57"/>
    </row>
    <row r="155" spans="2:26" x14ac:dyDescent="0.35">
      <c r="B155" s="48">
        <v>46262</v>
      </c>
      <c r="C155" s="6" t="s">
        <v>119</v>
      </c>
      <c r="D155" s="27" t="s">
        <v>6</v>
      </c>
      <c r="E155" s="67" t="s">
        <v>93</v>
      </c>
      <c r="F155" s="67" t="s">
        <v>94</v>
      </c>
      <c r="G155" s="25">
        <f t="shared" si="18"/>
        <v>6430</v>
      </c>
      <c r="H155" s="52">
        <f t="shared" si="16"/>
        <v>4768.1885008130075</v>
      </c>
      <c r="I155" s="53">
        <v>0.12</v>
      </c>
      <c r="J155" s="54">
        <v>0</v>
      </c>
      <c r="K155" s="55" t="s">
        <v>18</v>
      </c>
      <c r="L155" s="55" t="s">
        <v>92</v>
      </c>
      <c r="M155" s="31">
        <v>1004.1712263414634</v>
      </c>
      <c r="N155" s="36">
        <v>890.21149918699177</v>
      </c>
      <c r="O155" s="12">
        <f t="shared" si="17"/>
        <v>6543.9597271544708</v>
      </c>
      <c r="P155" s="68" t="s">
        <v>196</v>
      </c>
      <c r="R155" s="58">
        <f t="shared" si="19"/>
        <v>0</v>
      </c>
      <c r="S155" s="5"/>
      <c r="T155" s="6"/>
      <c r="U155" s="7"/>
      <c r="V155" s="8"/>
      <c r="W155" s="8"/>
      <c r="X155" s="47"/>
      <c r="Y155" s="13"/>
      <c r="Z155" s="57"/>
    </row>
    <row r="156" spans="2:26" x14ac:dyDescent="0.35">
      <c r="B156" s="48">
        <v>46262</v>
      </c>
      <c r="C156" s="6" t="s">
        <v>152</v>
      </c>
      <c r="D156" s="27" t="s">
        <v>0</v>
      </c>
      <c r="E156" s="67" t="s">
        <v>93</v>
      </c>
      <c r="F156" s="67" t="s">
        <v>94</v>
      </c>
      <c r="G156" s="25">
        <f t="shared" si="18"/>
        <v>6430</v>
      </c>
      <c r="H156" s="52">
        <f t="shared" si="16"/>
        <v>4752.6454848780486</v>
      </c>
      <c r="I156" s="53">
        <v>0.12</v>
      </c>
      <c r="J156" s="54">
        <v>0</v>
      </c>
      <c r="K156" s="55" t="s">
        <v>18</v>
      </c>
      <c r="L156" s="55" t="s">
        <v>92</v>
      </c>
      <c r="M156" s="31">
        <v>1074.3294959349594</v>
      </c>
      <c r="N156" s="36">
        <v>905.75451512195139</v>
      </c>
      <c r="O156" s="12">
        <f t="shared" si="17"/>
        <v>6598.5749808130086</v>
      </c>
      <c r="P156" s="68" t="s">
        <v>196</v>
      </c>
      <c r="R156" s="58">
        <f t="shared" si="19"/>
        <v>0</v>
      </c>
      <c r="S156" s="5"/>
      <c r="T156" s="6"/>
      <c r="U156" s="7"/>
      <c r="V156" s="8"/>
      <c r="W156" s="8"/>
      <c r="X156" s="47"/>
      <c r="Y156" s="13"/>
      <c r="Z156" s="57"/>
    </row>
    <row r="157" spans="2:26" x14ac:dyDescent="0.35">
      <c r="B157" s="48">
        <v>46262</v>
      </c>
      <c r="C157" s="6" t="s">
        <v>145</v>
      </c>
      <c r="D157" s="27" t="s">
        <v>0</v>
      </c>
      <c r="E157" s="67" t="s">
        <v>93</v>
      </c>
      <c r="F157" s="67" t="s">
        <v>94</v>
      </c>
      <c r="G157" s="25">
        <f t="shared" si="18"/>
        <v>6430</v>
      </c>
      <c r="H157" s="52">
        <f t="shared" si="16"/>
        <v>4605.0677391869913</v>
      </c>
      <c r="I157" s="53">
        <v>0.12</v>
      </c>
      <c r="J157" s="54">
        <v>0</v>
      </c>
      <c r="K157" s="55" t="s">
        <v>18</v>
      </c>
      <c r="L157" s="56" t="s">
        <v>92</v>
      </c>
      <c r="M157" s="31">
        <v>1012.6924357723577</v>
      </c>
      <c r="N157" s="36">
        <v>1053.3322608130084</v>
      </c>
      <c r="O157" s="12">
        <f t="shared" si="17"/>
        <v>6389.360174959349</v>
      </c>
      <c r="P157" s="68" t="s">
        <v>196</v>
      </c>
      <c r="R157" s="58">
        <f t="shared" si="19"/>
        <v>0</v>
      </c>
      <c r="S157" s="5"/>
      <c r="T157" s="6"/>
      <c r="U157" s="7"/>
      <c r="V157" s="8"/>
      <c r="W157" s="8"/>
      <c r="X157" s="47"/>
      <c r="Y157" s="13"/>
      <c r="Z157" s="57"/>
    </row>
    <row r="158" spans="2:26" x14ac:dyDescent="0.35">
      <c r="B158" s="48">
        <v>46262</v>
      </c>
      <c r="C158" s="6" t="s">
        <v>144</v>
      </c>
      <c r="D158" s="27" t="s">
        <v>0</v>
      </c>
      <c r="E158" s="67" t="s">
        <v>93</v>
      </c>
      <c r="F158" s="67" t="s">
        <v>94</v>
      </c>
      <c r="G158" s="25">
        <f t="shared" si="18"/>
        <v>6430</v>
      </c>
      <c r="H158" s="52">
        <f t="shared" si="16"/>
        <v>4689.1291739837397</v>
      </c>
      <c r="I158" s="53">
        <v>0.12</v>
      </c>
      <c r="J158" s="54">
        <v>0</v>
      </c>
      <c r="K158" s="55" t="s">
        <v>18</v>
      </c>
      <c r="L158" s="56" t="s">
        <v>92</v>
      </c>
      <c r="M158" s="31">
        <v>1198.0008253658536</v>
      </c>
      <c r="N158" s="36">
        <v>969.27082601626023</v>
      </c>
      <c r="O158" s="12">
        <f t="shared" si="17"/>
        <v>6658.7299993495935</v>
      </c>
      <c r="P158" s="68" t="s">
        <v>196</v>
      </c>
      <c r="R158" s="58">
        <f t="shared" si="19"/>
        <v>0</v>
      </c>
      <c r="S158" s="5"/>
      <c r="T158" s="6"/>
      <c r="U158" s="7"/>
      <c r="V158" s="8"/>
      <c r="W158" s="8"/>
      <c r="X158" s="47"/>
      <c r="Y158" s="13"/>
      <c r="Z158" s="57"/>
    </row>
    <row r="159" spans="2:26" x14ac:dyDescent="0.35">
      <c r="B159" s="48">
        <v>46262</v>
      </c>
      <c r="C159" s="6" t="s">
        <v>143</v>
      </c>
      <c r="D159" s="27" t="s">
        <v>0</v>
      </c>
      <c r="E159" s="67" t="s">
        <v>93</v>
      </c>
      <c r="F159" s="67" t="s">
        <v>94</v>
      </c>
      <c r="G159" s="25">
        <f t="shared" si="18"/>
        <v>6430</v>
      </c>
      <c r="H159" s="52">
        <f t="shared" si="16"/>
        <v>4815.351337235772</v>
      </c>
      <c r="I159" s="53">
        <v>0.12</v>
      </c>
      <c r="J159" s="54">
        <v>0</v>
      </c>
      <c r="K159" s="55" t="s">
        <v>18</v>
      </c>
      <c r="L159" s="56" t="s">
        <v>92</v>
      </c>
      <c r="M159" s="31">
        <v>1012.6924357723577</v>
      </c>
      <c r="N159" s="36">
        <v>843.04866276422763</v>
      </c>
      <c r="O159" s="12">
        <f t="shared" si="17"/>
        <v>6599.6437730081298</v>
      </c>
      <c r="P159" s="68" t="s">
        <v>196</v>
      </c>
      <c r="R159" s="58">
        <f t="shared" si="19"/>
        <v>0</v>
      </c>
      <c r="S159" s="5"/>
      <c r="T159" s="6"/>
      <c r="U159" s="7"/>
      <c r="V159" s="8"/>
      <c r="W159" s="8"/>
      <c r="X159" s="47"/>
      <c r="Y159" s="13"/>
      <c r="Z159" s="57"/>
    </row>
    <row r="160" spans="2:26" x14ac:dyDescent="0.35">
      <c r="B160" s="48">
        <v>46262</v>
      </c>
      <c r="C160" s="6" t="s">
        <v>129</v>
      </c>
      <c r="D160" s="27" t="s">
        <v>3</v>
      </c>
      <c r="E160" s="67" t="s">
        <v>93</v>
      </c>
      <c r="F160" s="67" t="s">
        <v>94</v>
      </c>
      <c r="G160" s="25">
        <f>(6500-70)*0.88</f>
        <v>5658.4</v>
      </c>
      <c r="H160" s="52">
        <f t="shared" si="16"/>
        <v>5595.5936845528449</v>
      </c>
      <c r="I160" s="20">
        <v>0</v>
      </c>
      <c r="J160" s="54">
        <v>0</v>
      </c>
      <c r="K160" s="55" t="s">
        <v>18</v>
      </c>
      <c r="L160" s="55" t="s">
        <v>92</v>
      </c>
      <c r="M160" s="31">
        <v>243.357521300813</v>
      </c>
      <c r="N160" s="36">
        <v>62.806315447154475</v>
      </c>
      <c r="O160" s="12">
        <f t="shared" si="17"/>
        <v>6635.1718248337029</v>
      </c>
      <c r="P160" s="68" t="s">
        <v>196</v>
      </c>
      <c r="R160" s="58">
        <f t="shared" si="19"/>
        <v>0</v>
      </c>
      <c r="S160" s="5"/>
      <c r="T160" s="6"/>
      <c r="U160" s="7"/>
      <c r="V160" s="8"/>
      <c r="W160" s="8"/>
      <c r="X160" s="47"/>
      <c r="Y160" s="13"/>
      <c r="Z160" s="57"/>
    </row>
    <row r="161" spans="2:26" x14ac:dyDescent="0.35">
      <c r="B161" s="48">
        <v>46262</v>
      </c>
      <c r="C161" s="6" t="s">
        <v>130</v>
      </c>
      <c r="D161" s="27" t="s">
        <v>3</v>
      </c>
      <c r="E161" s="67" t="s">
        <v>93</v>
      </c>
      <c r="F161" s="67" t="s">
        <v>94</v>
      </c>
      <c r="G161" s="25">
        <f t="shared" ref="G161:G164" si="20">(6500-70)*0.88</f>
        <v>5658.4</v>
      </c>
      <c r="H161" s="52">
        <f t="shared" si="16"/>
        <v>5595.5936845528449</v>
      </c>
      <c r="I161" s="20">
        <v>0</v>
      </c>
      <c r="J161" s="54">
        <v>0</v>
      </c>
      <c r="K161" s="55" t="s">
        <v>18</v>
      </c>
      <c r="L161" s="56" t="s">
        <v>92</v>
      </c>
      <c r="M161" s="31">
        <v>243.357521300813</v>
      </c>
      <c r="N161" s="36">
        <v>62.806315447154475</v>
      </c>
      <c r="O161" s="12">
        <f t="shared" si="17"/>
        <v>6635.1718248337029</v>
      </c>
      <c r="P161" s="68" t="s">
        <v>196</v>
      </c>
      <c r="R161" s="58">
        <f t="shared" si="19"/>
        <v>0</v>
      </c>
      <c r="S161" s="5"/>
      <c r="T161" s="6"/>
      <c r="U161" s="7"/>
      <c r="V161" s="8"/>
      <c r="W161" s="8"/>
      <c r="X161" s="47"/>
      <c r="Y161" s="13"/>
      <c r="Z161" s="57"/>
    </row>
    <row r="162" spans="2:26" x14ac:dyDescent="0.35">
      <c r="B162" s="48">
        <v>46262</v>
      </c>
      <c r="C162" s="6" t="s">
        <v>153</v>
      </c>
      <c r="D162" s="27" t="s">
        <v>3</v>
      </c>
      <c r="E162" s="67" t="s">
        <v>93</v>
      </c>
      <c r="F162" s="67" t="s">
        <v>94</v>
      </c>
      <c r="G162" s="25">
        <f t="shared" si="20"/>
        <v>5658.4</v>
      </c>
      <c r="H162" s="52">
        <f t="shared" si="16"/>
        <v>5519.6678373983732</v>
      </c>
      <c r="I162" s="20">
        <v>0</v>
      </c>
      <c r="J162" s="54">
        <v>0</v>
      </c>
      <c r="K162" s="55" t="s">
        <v>18</v>
      </c>
      <c r="L162" s="56" t="s">
        <v>92</v>
      </c>
      <c r="M162" s="31">
        <v>324.29597008130082</v>
      </c>
      <c r="N162" s="36">
        <v>138.73216260162602</v>
      </c>
      <c r="O162" s="12">
        <f t="shared" si="17"/>
        <v>6640.8679630450843</v>
      </c>
      <c r="P162" s="68" t="s">
        <v>196</v>
      </c>
      <c r="R162" s="58">
        <f t="shared" si="19"/>
        <v>0</v>
      </c>
      <c r="S162" s="5"/>
      <c r="T162" s="6"/>
      <c r="U162" s="7"/>
      <c r="V162" s="8"/>
      <c r="W162" s="8"/>
      <c r="X162" s="47"/>
      <c r="Y162" s="13"/>
      <c r="Z162" s="57"/>
    </row>
    <row r="163" spans="2:26" x14ac:dyDescent="0.35">
      <c r="B163" s="48">
        <v>46262</v>
      </c>
      <c r="C163" s="6" t="s">
        <v>154</v>
      </c>
      <c r="D163" s="27" t="s">
        <v>3</v>
      </c>
      <c r="E163" s="67" t="s">
        <v>93</v>
      </c>
      <c r="F163" s="67" t="s">
        <v>94</v>
      </c>
      <c r="G163" s="25">
        <f t="shared" si="20"/>
        <v>5658.4</v>
      </c>
      <c r="H163" s="52">
        <f t="shared" si="16"/>
        <v>5519.6678373983732</v>
      </c>
      <c r="I163" s="20">
        <v>0</v>
      </c>
      <c r="J163" s="54">
        <v>0</v>
      </c>
      <c r="K163" s="55" t="s">
        <v>18</v>
      </c>
      <c r="L163" s="56" t="s">
        <v>92</v>
      </c>
      <c r="M163" s="31">
        <v>324.29597008130082</v>
      </c>
      <c r="N163" s="36">
        <v>138.73216260162602</v>
      </c>
      <c r="O163" s="12">
        <f t="shared" si="17"/>
        <v>6640.8679630450843</v>
      </c>
      <c r="P163" s="68" t="s">
        <v>196</v>
      </c>
      <c r="R163" s="58">
        <f t="shared" si="19"/>
        <v>0</v>
      </c>
      <c r="S163" s="5"/>
      <c r="T163" s="6"/>
      <c r="U163" s="7"/>
      <c r="V163" s="8"/>
      <c r="W163" s="8"/>
      <c r="X163" s="47"/>
      <c r="Y163" s="13"/>
      <c r="Z163" s="57"/>
    </row>
    <row r="164" spans="2:26" x14ac:dyDescent="0.35">
      <c r="B164" s="48">
        <v>46262</v>
      </c>
      <c r="C164" s="6" t="s">
        <v>122</v>
      </c>
      <c r="D164" s="27" t="s">
        <v>3</v>
      </c>
      <c r="E164" s="67" t="s">
        <v>93</v>
      </c>
      <c r="F164" s="67" t="s">
        <v>94</v>
      </c>
      <c r="G164" s="25">
        <f t="shared" si="20"/>
        <v>5658.4</v>
      </c>
      <c r="H164" s="52">
        <f t="shared" si="16"/>
        <v>5513.4733658536579</v>
      </c>
      <c r="I164" s="20">
        <v>0</v>
      </c>
      <c r="J164" s="54">
        <v>0</v>
      </c>
      <c r="K164" s="55" t="s">
        <v>18</v>
      </c>
      <c r="L164" s="56" t="s">
        <v>92</v>
      </c>
      <c r="M164" s="31">
        <v>240.83857951219514</v>
      </c>
      <c r="N164" s="36">
        <v>144.92663414634146</v>
      </c>
      <c r="O164" s="12">
        <f t="shared" si="17"/>
        <v>6538.9908470066512</v>
      </c>
      <c r="P164" s="68" t="s">
        <v>196</v>
      </c>
      <c r="R164" s="58">
        <f t="shared" si="19"/>
        <v>0</v>
      </c>
      <c r="S164" s="5"/>
      <c r="T164" s="6"/>
      <c r="U164" s="7"/>
      <c r="V164" s="8"/>
      <c r="W164" s="8"/>
      <c r="X164" s="47"/>
      <c r="Y164" s="13"/>
      <c r="Z164" s="57"/>
    </row>
    <row r="165" spans="2:26" x14ac:dyDescent="0.35">
      <c r="B165" s="48">
        <v>46262</v>
      </c>
      <c r="C165" s="6" t="s">
        <v>142</v>
      </c>
      <c r="D165" s="27" t="s">
        <v>7</v>
      </c>
      <c r="E165" s="67" t="s">
        <v>93</v>
      </c>
      <c r="F165" s="67" t="s">
        <v>94</v>
      </c>
      <c r="G165" s="25">
        <f>(6500-70)</f>
        <v>6430</v>
      </c>
      <c r="H165" s="52">
        <f t="shared" si="16"/>
        <v>4876.8984279674796</v>
      </c>
      <c r="I165" s="53">
        <v>0.12</v>
      </c>
      <c r="J165" s="54">
        <v>0</v>
      </c>
      <c r="K165" s="55" t="s">
        <v>18</v>
      </c>
      <c r="L165" s="56" t="s">
        <v>92</v>
      </c>
      <c r="M165" s="31">
        <v>911.61348455284553</v>
      </c>
      <c r="N165" s="36">
        <v>781.50157203252036</v>
      </c>
      <c r="O165" s="12">
        <f t="shared" si="17"/>
        <v>6560.1119125203259</v>
      </c>
      <c r="P165" s="68" t="s">
        <v>196</v>
      </c>
      <c r="R165" s="58">
        <f t="shared" ref="R165:R196" si="21">IFERROR(H165/Y165-1,0)</f>
        <v>0</v>
      </c>
      <c r="S165" s="5"/>
      <c r="T165" s="6"/>
      <c r="U165" s="7"/>
      <c r="V165" s="8"/>
      <c r="W165" s="8"/>
      <c r="X165" s="47"/>
      <c r="Y165" s="13"/>
      <c r="Z165" s="57"/>
    </row>
    <row r="166" spans="2:26" x14ac:dyDescent="0.35">
      <c r="B166" s="5">
        <v>46262</v>
      </c>
      <c r="C166" s="6" t="s">
        <v>97</v>
      </c>
      <c r="D166" s="14" t="s">
        <v>4</v>
      </c>
      <c r="E166" s="15" t="s">
        <v>198</v>
      </c>
      <c r="F166" s="28" t="s">
        <v>91</v>
      </c>
      <c r="G166" s="94">
        <v>5750</v>
      </c>
      <c r="H166" s="13">
        <f t="shared" si="16"/>
        <v>5526.9083100813004</v>
      </c>
      <c r="I166" s="20">
        <v>0</v>
      </c>
      <c r="J166" s="16">
        <f t="shared" ref="J166:J209" si="22">9.25%*10%</f>
        <v>9.2499999999999995E-3</v>
      </c>
      <c r="K166" s="40" t="s">
        <v>18</v>
      </c>
      <c r="L166" s="11" t="s">
        <v>54</v>
      </c>
      <c r="M166" s="31">
        <v>493.74063902439019</v>
      </c>
      <c r="N166" s="36">
        <v>169.90418991869919</v>
      </c>
      <c r="O166" s="12">
        <f t="shared" si="17"/>
        <v>6966.5272510560071</v>
      </c>
      <c r="P166" s="66"/>
      <c r="R166" s="58">
        <f t="shared" si="21"/>
        <v>0</v>
      </c>
      <c r="S166" s="5"/>
      <c r="T166" s="6"/>
      <c r="U166" s="7"/>
      <c r="V166" s="8"/>
      <c r="W166" s="8"/>
      <c r="X166" s="47"/>
      <c r="Y166" s="13"/>
      <c r="Z166" s="57"/>
    </row>
    <row r="167" spans="2:26" x14ac:dyDescent="0.35">
      <c r="B167" s="5">
        <v>46262</v>
      </c>
      <c r="C167" s="6" t="s">
        <v>99</v>
      </c>
      <c r="D167" s="14" t="s">
        <v>4</v>
      </c>
      <c r="E167" s="15" t="s">
        <v>198</v>
      </c>
      <c r="F167" s="28" t="s">
        <v>91</v>
      </c>
      <c r="G167" s="94">
        <v>5750</v>
      </c>
      <c r="H167" s="13">
        <f t="shared" si="16"/>
        <v>5421.2240947967475</v>
      </c>
      <c r="I167" s="20">
        <v>0</v>
      </c>
      <c r="J167" s="16">
        <f t="shared" si="22"/>
        <v>9.2499999999999995E-3</v>
      </c>
      <c r="K167" s="40" t="s">
        <v>18</v>
      </c>
      <c r="L167" s="11" t="s">
        <v>54</v>
      </c>
      <c r="M167" s="31">
        <v>564.75200292682928</v>
      </c>
      <c r="N167" s="36">
        <v>275.58840520325208</v>
      </c>
      <c r="O167" s="12">
        <f t="shared" si="17"/>
        <v>6926.7584219067003</v>
      </c>
      <c r="P167" s="66"/>
      <c r="R167" s="58">
        <f t="shared" si="21"/>
        <v>0</v>
      </c>
      <c r="S167" s="5"/>
      <c r="T167" s="6"/>
      <c r="U167" s="7"/>
      <c r="V167" s="8"/>
      <c r="W167" s="8"/>
      <c r="X167" s="47"/>
      <c r="Y167" s="13"/>
      <c r="Z167" s="57"/>
    </row>
    <row r="168" spans="2:26" x14ac:dyDescent="0.35">
      <c r="B168" s="5">
        <v>46262</v>
      </c>
      <c r="C168" s="6" t="s">
        <v>98</v>
      </c>
      <c r="D168" s="7" t="s">
        <v>4</v>
      </c>
      <c r="E168" s="15" t="s">
        <v>198</v>
      </c>
      <c r="F168" s="28" t="s">
        <v>91</v>
      </c>
      <c r="G168" s="94">
        <v>5750</v>
      </c>
      <c r="H168" s="13">
        <f t="shared" si="16"/>
        <v>5531.2177904065038</v>
      </c>
      <c r="I168" s="20">
        <v>0</v>
      </c>
      <c r="J168" s="16">
        <f t="shared" si="22"/>
        <v>9.2499999999999995E-3</v>
      </c>
      <c r="K168" s="40" t="s">
        <v>18</v>
      </c>
      <c r="L168" s="11" t="s">
        <v>54</v>
      </c>
      <c r="M168" s="31">
        <v>489.18180975609749</v>
      </c>
      <c r="N168" s="36">
        <v>165.59470959349593</v>
      </c>
      <c r="O168" s="12">
        <f t="shared" si="17"/>
        <v>6966.2412545163224</v>
      </c>
      <c r="P168" s="66"/>
      <c r="R168" s="58">
        <f t="shared" si="21"/>
        <v>0</v>
      </c>
      <c r="S168" s="5"/>
      <c r="T168" s="6"/>
      <c r="U168" s="7"/>
      <c r="V168" s="8"/>
      <c r="W168" s="8"/>
      <c r="X168" s="47"/>
      <c r="Y168" s="13"/>
      <c r="Z168" s="57"/>
    </row>
    <row r="169" spans="2:26" x14ac:dyDescent="0.35">
      <c r="B169" s="5">
        <v>46262</v>
      </c>
      <c r="C169" s="8" t="s">
        <v>99</v>
      </c>
      <c r="D169" s="14" t="s">
        <v>4</v>
      </c>
      <c r="E169" s="15" t="s">
        <v>199</v>
      </c>
      <c r="F169" s="28" t="s">
        <v>91</v>
      </c>
      <c r="G169" s="94">
        <v>5500</v>
      </c>
      <c r="H169" s="13">
        <f t="shared" si="16"/>
        <v>5173.5365947967475</v>
      </c>
      <c r="I169" s="20">
        <v>0</v>
      </c>
      <c r="J169" s="16">
        <f t="shared" si="22"/>
        <v>9.2499999999999995E-3</v>
      </c>
      <c r="K169" s="40" t="s">
        <v>18</v>
      </c>
      <c r="L169" s="11" t="s">
        <v>54</v>
      </c>
      <c r="M169" s="31">
        <v>564.75200292682928</v>
      </c>
      <c r="N169" s="36">
        <v>275.58840520325208</v>
      </c>
      <c r="O169" s="12">
        <f t="shared" si="17"/>
        <v>6640.0151374344232</v>
      </c>
      <c r="P169" s="75"/>
      <c r="R169" s="58">
        <f t="shared" si="21"/>
        <v>0</v>
      </c>
      <c r="S169" s="5"/>
      <c r="T169" s="6"/>
      <c r="U169" s="7"/>
      <c r="V169" s="8"/>
      <c r="W169" s="8"/>
      <c r="X169" s="47"/>
      <c r="Y169" s="13"/>
      <c r="Z169" s="57"/>
    </row>
    <row r="170" spans="2:26" x14ac:dyDescent="0.35">
      <c r="B170" s="5">
        <v>46262</v>
      </c>
      <c r="C170" s="8" t="s">
        <v>98</v>
      </c>
      <c r="D170" s="14" t="s">
        <v>4</v>
      </c>
      <c r="E170" s="15" t="s">
        <v>199</v>
      </c>
      <c r="F170" s="28" t="s">
        <v>91</v>
      </c>
      <c r="G170" s="94">
        <v>5500</v>
      </c>
      <c r="H170" s="13">
        <f t="shared" si="16"/>
        <v>5283.5302904065038</v>
      </c>
      <c r="I170" s="20">
        <v>0</v>
      </c>
      <c r="J170" s="16">
        <f t="shared" si="22"/>
        <v>9.2499999999999995E-3</v>
      </c>
      <c r="K170" s="40" t="s">
        <v>18</v>
      </c>
      <c r="L170" s="11" t="s">
        <v>54</v>
      </c>
      <c r="M170" s="31">
        <v>489.18180975609749</v>
      </c>
      <c r="N170" s="36">
        <v>165.59470959349593</v>
      </c>
      <c r="O170" s="12">
        <f t="shared" si="17"/>
        <v>6679.4979700440454</v>
      </c>
      <c r="P170" s="75"/>
      <c r="R170" s="58">
        <f t="shared" si="21"/>
        <v>0</v>
      </c>
      <c r="S170" s="5"/>
      <c r="T170" s="6"/>
      <c r="U170" s="7"/>
      <c r="V170" s="8"/>
      <c r="W170" s="8"/>
      <c r="X170" s="47"/>
      <c r="Y170" s="13"/>
      <c r="Z170" s="57"/>
    </row>
    <row r="171" spans="2:26" x14ac:dyDescent="0.35">
      <c r="B171" s="5">
        <v>46262</v>
      </c>
      <c r="C171" s="8" t="s">
        <v>97</v>
      </c>
      <c r="D171" s="14" t="s">
        <v>4</v>
      </c>
      <c r="E171" s="15" t="s">
        <v>199</v>
      </c>
      <c r="F171" s="28" t="s">
        <v>91</v>
      </c>
      <c r="G171" s="94">
        <v>5500</v>
      </c>
      <c r="H171" s="13">
        <f t="shared" si="16"/>
        <v>5279.2208100813004</v>
      </c>
      <c r="I171" s="20">
        <v>0</v>
      </c>
      <c r="J171" s="16">
        <f t="shared" si="22"/>
        <v>9.2499999999999995E-3</v>
      </c>
      <c r="K171" s="40" t="s">
        <v>18</v>
      </c>
      <c r="L171" s="11" t="s">
        <v>54</v>
      </c>
      <c r="M171" s="31">
        <v>493.74063902439019</v>
      </c>
      <c r="N171" s="36">
        <v>169.90418991869919</v>
      </c>
      <c r="O171" s="12">
        <f t="shared" si="17"/>
        <v>6679.78396658373</v>
      </c>
      <c r="P171" s="75"/>
      <c r="R171" s="58">
        <f t="shared" si="21"/>
        <v>0</v>
      </c>
      <c r="S171" s="5"/>
      <c r="T171" s="6"/>
      <c r="U171" s="7"/>
      <c r="V171" s="8"/>
      <c r="W171" s="8"/>
      <c r="X171" s="47"/>
      <c r="Y171" s="13"/>
      <c r="Z171" s="57"/>
    </row>
    <row r="172" spans="2:26" x14ac:dyDescent="0.35">
      <c r="B172" s="5">
        <v>46262</v>
      </c>
      <c r="C172" s="8" t="s">
        <v>99</v>
      </c>
      <c r="D172" s="14" t="s">
        <v>4</v>
      </c>
      <c r="E172" s="15" t="s">
        <v>200</v>
      </c>
      <c r="F172" s="28" t="s">
        <v>91</v>
      </c>
      <c r="G172" s="94">
        <f>5400+100</f>
        <v>5500</v>
      </c>
      <c r="H172" s="13">
        <f t="shared" si="16"/>
        <v>5449.125</v>
      </c>
      <c r="I172" s="20">
        <v>0</v>
      </c>
      <c r="J172" s="16">
        <f t="shared" si="22"/>
        <v>9.2499999999999995E-3</v>
      </c>
      <c r="K172" s="10" t="s">
        <v>31</v>
      </c>
      <c r="L172" s="11" t="s">
        <v>54</v>
      </c>
      <c r="M172" s="31">
        <v>564.75200292682928</v>
      </c>
      <c r="N172" s="36"/>
      <c r="O172" s="12">
        <f t="shared" si="17"/>
        <v>6956.1076353162534</v>
      </c>
      <c r="P172" s="75" t="s">
        <v>204</v>
      </c>
      <c r="R172" s="58">
        <f t="shared" si="21"/>
        <v>0</v>
      </c>
      <c r="S172" s="5"/>
      <c r="T172" s="6"/>
      <c r="U172" s="7"/>
      <c r="V172" s="8"/>
      <c r="W172" s="8"/>
      <c r="X172" s="47"/>
      <c r="Y172" s="13"/>
      <c r="Z172" s="57"/>
    </row>
    <row r="173" spans="2:26" x14ac:dyDescent="0.35">
      <c r="B173" s="5">
        <v>46262</v>
      </c>
      <c r="C173" s="8" t="s">
        <v>98</v>
      </c>
      <c r="D173" s="14" t="s">
        <v>4</v>
      </c>
      <c r="E173" s="15" t="s">
        <v>200</v>
      </c>
      <c r="F173" s="28" t="s">
        <v>91</v>
      </c>
      <c r="G173" s="94">
        <f t="shared" ref="G173:G174" si="23">5400+100</f>
        <v>5500</v>
      </c>
      <c r="H173" s="13">
        <f t="shared" si="16"/>
        <v>5449.125</v>
      </c>
      <c r="I173" s="20">
        <v>0</v>
      </c>
      <c r="J173" s="16">
        <f t="shared" si="22"/>
        <v>9.2499999999999995E-3</v>
      </c>
      <c r="K173" s="10" t="s">
        <v>31</v>
      </c>
      <c r="L173" s="11" t="s">
        <v>54</v>
      </c>
      <c r="M173" s="31">
        <v>489.18180975609749</v>
      </c>
      <c r="N173" s="36"/>
      <c r="O173" s="12">
        <f t="shared" si="17"/>
        <v>6869.4306537243328</v>
      </c>
      <c r="P173" s="75" t="s">
        <v>204</v>
      </c>
      <c r="R173" s="58">
        <f t="shared" si="21"/>
        <v>0</v>
      </c>
      <c r="S173" s="5"/>
      <c r="T173" s="6"/>
      <c r="U173" s="7"/>
      <c r="V173" s="8"/>
      <c r="W173" s="8"/>
      <c r="X173" s="47"/>
      <c r="Y173" s="13"/>
      <c r="Z173" s="57"/>
    </row>
    <row r="174" spans="2:26" x14ac:dyDescent="0.35">
      <c r="B174" s="5">
        <v>46262</v>
      </c>
      <c r="C174" s="8" t="s">
        <v>97</v>
      </c>
      <c r="D174" s="14" t="s">
        <v>4</v>
      </c>
      <c r="E174" s="15" t="s">
        <v>200</v>
      </c>
      <c r="F174" s="28" t="s">
        <v>91</v>
      </c>
      <c r="G174" s="94">
        <f t="shared" si="23"/>
        <v>5500</v>
      </c>
      <c r="H174" s="13">
        <f t="shared" si="16"/>
        <v>5449.125</v>
      </c>
      <c r="I174" s="20">
        <v>0</v>
      </c>
      <c r="J174" s="16">
        <f t="shared" si="22"/>
        <v>9.2499999999999995E-3</v>
      </c>
      <c r="K174" s="10" t="s">
        <v>31</v>
      </c>
      <c r="L174" s="11" t="s">
        <v>54</v>
      </c>
      <c r="M174" s="31">
        <v>493.74063902439019</v>
      </c>
      <c r="N174" s="36"/>
      <c r="O174" s="12">
        <f t="shared" si="17"/>
        <v>6874.6595084352884</v>
      </c>
      <c r="P174" s="75" t="s">
        <v>204</v>
      </c>
      <c r="R174" s="58">
        <f t="shared" si="21"/>
        <v>0</v>
      </c>
      <c r="S174" s="5"/>
      <c r="T174" s="6"/>
      <c r="U174" s="7"/>
      <c r="V174" s="8"/>
      <c r="W174" s="8"/>
      <c r="X174" s="47"/>
      <c r="Y174" s="13"/>
      <c r="Z174" s="57"/>
    </row>
    <row r="175" spans="2:26" x14ac:dyDescent="0.35">
      <c r="B175" s="5">
        <v>46262</v>
      </c>
      <c r="C175" s="8" t="s">
        <v>99</v>
      </c>
      <c r="D175" s="14" t="s">
        <v>4</v>
      </c>
      <c r="E175" s="15" t="s">
        <v>197</v>
      </c>
      <c r="F175" s="28" t="s">
        <v>91</v>
      </c>
      <c r="G175" s="94">
        <v>5300</v>
      </c>
      <c r="H175" s="13">
        <f t="shared" si="16"/>
        <v>5250.9750000000004</v>
      </c>
      <c r="I175" s="20">
        <v>0</v>
      </c>
      <c r="J175" s="16">
        <f t="shared" si="22"/>
        <v>9.2499999999999995E-3</v>
      </c>
      <c r="K175" s="10" t="s">
        <v>31</v>
      </c>
      <c r="L175" s="11" t="s">
        <v>54</v>
      </c>
      <c r="M175" s="31">
        <v>564.75200292682928</v>
      </c>
      <c r="N175" s="36"/>
      <c r="O175" s="12">
        <f t="shared" si="17"/>
        <v>6726.7130077384318</v>
      </c>
      <c r="P175" s="75"/>
      <c r="R175" s="58">
        <f t="shared" si="21"/>
        <v>0</v>
      </c>
      <c r="S175" s="5"/>
      <c r="T175" s="6"/>
      <c r="U175" s="7"/>
      <c r="V175" s="8"/>
      <c r="W175" s="8"/>
      <c r="X175" s="47"/>
      <c r="Y175" s="13"/>
      <c r="Z175" s="57"/>
    </row>
    <row r="176" spans="2:26" x14ac:dyDescent="0.35">
      <c r="B176" s="5">
        <v>46262</v>
      </c>
      <c r="C176" s="8" t="s">
        <v>98</v>
      </c>
      <c r="D176" s="14" t="s">
        <v>4</v>
      </c>
      <c r="E176" s="15" t="s">
        <v>197</v>
      </c>
      <c r="F176" s="28" t="s">
        <v>91</v>
      </c>
      <c r="G176" s="94">
        <v>5300</v>
      </c>
      <c r="H176" s="13">
        <f t="shared" si="16"/>
        <v>5250.9750000000004</v>
      </c>
      <c r="I176" s="20">
        <v>0</v>
      </c>
      <c r="J176" s="16">
        <f t="shared" si="22"/>
        <v>9.2499999999999995E-3</v>
      </c>
      <c r="K176" s="10" t="s">
        <v>31</v>
      </c>
      <c r="L176" s="11" t="s">
        <v>54</v>
      </c>
      <c r="M176" s="31">
        <v>489.18180975609749</v>
      </c>
      <c r="N176" s="36"/>
      <c r="O176" s="12">
        <f t="shared" si="17"/>
        <v>6640.0360261465112</v>
      </c>
      <c r="P176" s="75"/>
      <c r="R176" s="58">
        <f t="shared" si="21"/>
        <v>0</v>
      </c>
      <c r="S176" s="5"/>
      <c r="T176" s="6"/>
      <c r="U176" s="7"/>
      <c r="V176" s="8"/>
      <c r="W176" s="8"/>
      <c r="X176" s="47"/>
      <c r="Y176" s="13"/>
      <c r="Z176" s="57"/>
    </row>
    <row r="177" spans="2:26" x14ac:dyDescent="0.35">
      <c r="B177" s="5">
        <v>46262</v>
      </c>
      <c r="C177" s="8" t="s">
        <v>97</v>
      </c>
      <c r="D177" s="14" t="s">
        <v>4</v>
      </c>
      <c r="E177" s="15" t="s">
        <v>197</v>
      </c>
      <c r="F177" s="28" t="s">
        <v>91</v>
      </c>
      <c r="G177" s="94">
        <v>5300</v>
      </c>
      <c r="H177" s="13">
        <f t="shared" si="16"/>
        <v>5250.9750000000004</v>
      </c>
      <c r="I177" s="20">
        <v>0</v>
      </c>
      <c r="J177" s="16">
        <f t="shared" si="22"/>
        <v>9.2499999999999995E-3</v>
      </c>
      <c r="K177" s="10" t="s">
        <v>31</v>
      </c>
      <c r="L177" s="11" t="s">
        <v>54</v>
      </c>
      <c r="M177" s="31">
        <v>493.74063902439019</v>
      </c>
      <c r="N177" s="36"/>
      <c r="O177" s="12">
        <f t="shared" si="17"/>
        <v>6645.2648808574668</v>
      </c>
      <c r="P177" s="75"/>
      <c r="R177" s="58">
        <f t="shared" si="21"/>
        <v>0</v>
      </c>
      <c r="S177" s="5"/>
      <c r="T177" s="6"/>
      <c r="U177" s="7"/>
      <c r="V177" s="8"/>
      <c r="W177" s="8"/>
      <c r="X177" s="47"/>
      <c r="Y177" s="13"/>
      <c r="Z177" s="57"/>
    </row>
    <row r="178" spans="2:26" x14ac:dyDescent="0.35">
      <c r="B178" s="5">
        <v>46262</v>
      </c>
      <c r="C178" s="6" t="s">
        <v>122</v>
      </c>
      <c r="D178" s="7" t="s">
        <v>3</v>
      </c>
      <c r="E178" s="15" t="s">
        <v>75</v>
      </c>
      <c r="F178" s="8" t="s">
        <v>76</v>
      </c>
      <c r="G178" s="25"/>
      <c r="H178" s="13">
        <f t="shared" si="16"/>
        <v>0</v>
      </c>
      <c r="I178" s="20">
        <v>0</v>
      </c>
      <c r="J178" s="16">
        <f t="shared" si="22"/>
        <v>9.2499999999999995E-3</v>
      </c>
      <c r="K178" s="10" t="s">
        <v>31</v>
      </c>
      <c r="L178" s="11" t="s">
        <v>54</v>
      </c>
      <c r="M178" s="33">
        <v>240.83857951219514</v>
      </c>
      <c r="N178" s="31"/>
      <c r="O178" s="12">
        <f t="shared" si="17"/>
        <v>276.23538126785854</v>
      </c>
      <c r="P178" s="74" t="s">
        <v>169</v>
      </c>
      <c r="R178" s="58">
        <f t="shared" si="21"/>
        <v>0</v>
      </c>
      <c r="S178" s="5"/>
      <c r="T178" s="6"/>
      <c r="U178" s="7"/>
      <c r="V178" s="8"/>
      <c r="W178" s="8"/>
      <c r="X178" s="47"/>
      <c r="Y178" s="13"/>
      <c r="Z178" s="57"/>
    </row>
    <row r="179" spans="2:26" x14ac:dyDescent="0.35">
      <c r="B179" s="5">
        <v>46262</v>
      </c>
      <c r="C179" s="6" t="s">
        <v>123</v>
      </c>
      <c r="D179" s="7" t="s">
        <v>3</v>
      </c>
      <c r="E179" s="15" t="s">
        <v>75</v>
      </c>
      <c r="F179" s="8" t="s">
        <v>76</v>
      </c>
      <c r="G179" s="25"/>
      <c r="H179" s="13">
        <f t="shared" si="16"/>
        <v>0</v>
      </c>
      <c r="I179" s="20">
        <v>0</v>
      </c>
      <c r="J179" s="16">
        <f t="shared" si="22"/>
        <v>9.2499999999999995E-3</v>
      </c>
      <c r="K179" s="10" t="s">
        <v>31</v>
      </c>
      <c r="L179" s="11" t="s">
        <v>54</v>
      </c>
      <c r="M179" s="31">
        <v>324.29597008130082</v>
      </c>
      <c r="N179" s="31"/>
      <c r="O179" s="12">
        <f t="shared" si="17"/>
        <v>371.95876640894272</v>
      </c>
      <c r="P179" s="74" t="s">
        <v>169</v>
      </c>
      <c r="R179" s="58">
        <f t="shared" si="21"/>
        <v>0</v>
      </c>
      <c r="S179" s="5"/>
      <c r="T179" s="6"/>
      <c r="U179" s="7"/>
      <c r="V179" s="8"/>
      <c r="W179" s="8"/>
      <c r="X179" s="47"/>
      <c r="Y179" s="13"/>
      <c r="Z179" s="57"/>
    </row>
    <row r="180" spans="2:26" x14ac:dyDescent="0.35">
      <c r="B180" s="5">
        <v>46262</v>
      </c>
      <c r="C180" s="6" t="s">
        <v>112</v>
      </c>
      <c r="D180" s="7" t="s">
        <v>3</v>
      </c>
      <c r="E180" s="15" t="s">
        <v>75</v>
      </c>
      <c r="F180" s="8" t="s">
        <v>76</v>
      </c>
      <c r="G180" s="25"/>
      <c r="H180" s="13">
        <f t="shared" si="16"/>
        <v>0</v>
      </c>
      <c r="I180" s="20">
        <v>0</v>
      </c>
      <c r="J180" s="16">
        <f t="shared" si="22"/>
        <v>9.2499999999999995E-3</v>
      </c>
      <c r="K180" s="10" t="s">
        <v>31</v>
      </c>
      <c r="L180" s="11" t="s">
        <v>54</v>
      </c>
      <c r="M180" s="31">
        <v>243.357521300813</v>
      </c>
      <c r="N180" s="31"/>
      <c r="O180" s="12">
        <f t="shared" si="17"/>
        <v>279.12453983530958</v>
      </c>
      <c r="P180" s="74" t="s">
        <v>169</v>
      </c>
      <c r="R180" s="58">
        <f t="shared" si="21"/>
        <v>0</v>
      </c>
      <c r="S180" s="5"/>
      <c r="T180" s="6"/>
      <c r="U180" s="7"/>
      <c r="V180" s="8"/>
      <c r="W180" s="8"/>
      <c r="X180" s="47"/>
      <c r="Y180" s="13"/>
      <c r="Z180" s="57"/>
    </row>
    <row r="181" spans="2:26" x14ac:dyDescent="0.35">
      <c r="B181" s="5">
        <v>46262</v>
      </c>
      <c r="C181" s="6" t="s">
        <v>128</v>
      </c>
      <c r="D181" s="7" t="s">
        <v>15</v>
      </c>
      <c r="E181" s="8" t="s">
        <v>86</v>
      </c>
      <c r="F181" s="8" t="s">
        <v>21</v>
      </c>
      <c r="G181" s="25"/>
      <c r="H181" s="13">
        <f t="shared" si="16"/>
        <v>-1232.4134939393941</v>
      </c>
      <c r="I181" s="20">
        <v>0</v>
      </c>
      <c r="J181" s="16">
        <f t="shared" si="22"/>
        <v>9.2499999999999995E-3</v>
      </c>
      <c r="K181" s="10" t="s">
        <v>18</v>
      </c>
      <c r="L181" s="11" t="s">
        <v>32</v>
      </c>
      <c r="M181" s="33">
        <v>1439.1768234146339</v>
      </c>
      <c r="N181" s="31">
        <v>1232.4134939393941</v>
      </c>
      <c r="O181" s="12">
        <f t="shared" si="17"/>
        <v>237.15198480861574</v>
      </c>
      <c r="P181" s="66" t="s">
        <v>172</v>
      </c>
      <c r="R181" s="58">
        <f t="shared" si="21"/>
        <v>0</v>
      </c>
      <c r="S181" s="5"/>
      <c r="T181" s="6"/>
      <c r="U181" s="7"/>
      <c r="V181" s="8"/>
      <c r="W181" s="8"/>
      <c r="X181" s="47"/>
      <c r="Y181" s="13"/>
      <c r="Z181" s="57"/>
    </row>
    <row r="182" spans="2:26" x14ac:dyDescent="0.35">
      <c r="B182" s="5">
        <v>46262</v>
      </c>
      <c r="C182" s="8" t="s">
        <v>98</v>
      </c>
      <c r="D182" s="14" t="s">
        <v>4</v>
      </c>
      <c r="E182" s="8" t="s">
        <v>86</v>
      </c>
      <c r="F182" s="8" t="s">
        <v>21</v>
      </c>
      <c r="G182" s="25"/>
      <c r="H182" s="13">
        <f t="shared" si="16"/>
        <v>-354.89229818181815</v>
      </c>
      <c r="I182" s="20">
        <v>0</v>
      </c>
      <c r="J182" s="16">
        <f t="shared" si="22"/>
        <v>9.2499999999999995E-3</v>
      </c>
      <c r="K182" s="10" t="s">
        <v>18</v>
      </c>
      <c r="L182" s="10" t="s">
        <v>32</v>
      </c>
      <c r="M182" s="31">
        <v>489.18180975609749</v>
      </c>
      <c r="N182" s="31">
        <v>354.89229818181815</v>
      </c>
      <c r="O182" s="12">
        <f t="shared" si="17"/>
        <v>154.02646247594723</v>
      </c>
      <c r="P182" s="66" t="s">
        <v>172</v>
      </c>
      <c r="R182" s="58">
        <f t="shared" si="21"/>
        <v>0</v>
      </c>
      <c r="S182" s="5"/>
      <c r="T182" s="6"/>
      <c r="U182" s="7"/>
      <c r="V182" s="8"/>
      <c r="W182" s="8"/>
      <c r="X182" s="47"/>
      <c r="Y182" s="13"/>
      <c r="Z182" s="57"/>
    </row>
    <row r="183" spans="2:26" x14ac:dyDescent="0.35">
      <c r="B183" s="5">
        <v>46262</v>
      </c>
      <c r="C183" s="8" t="s">
        <v>97</v>
      </c>
      <c r="D183" s="14" t="s">
        <v>4</v>
      </c>
      <c r="E183" s="8" t="s">
        <v>86</v>
      </c>
      <c r="F183" s="8" t="s">
        <v>21</v>
      </c>
      <c r="G183" s="25"/>
      <c r="H183" s="13">
        <f t="shared" si="16"/>
        <v>-344.21823272727272</v>
      </c>
      <c r="I183" s="20">
        <v>0</v>
      </c>
      <c r="J183" s="16">
        <f t="shared" si="22"/>
        <v>9.2499999999999995E-3</v>
      </c>
      <c r="K183" s="10" t="s">
        <v>18</v>
      </c>
      <c r="L183" s="10" t="s">
        <v>32</v>
      </c>
      <c r="M183" s="31">
        <v>493.74063902439019</v>
      </c>
      <c r="N183" s="31">
        <v>344.21823272727272</v>
      </c>
      <c r="O183" s="12">
        <f t="shared" si="17"/>
        <v>171.49818353533533</v>
      </c>
      <c r="P183" s="66" t="s">
        <v>172</v>
      </c>
      <c r="R183" s="58">
        <f t="shared" si="21"/>
        <v>0</v>
      </c>
      <c r="S183" s="5"/>
      <c r="T183" s="6"/>
      <c r="U183" s="7"/>
      <c r="V183" s="8"/>
      <c r="W183" s="8"/>
      <c r="X183" s="47"/>
      <c r="Y183" s="13"/>
      <c r="Z183" s="57"/>
    </row>
    <row r="184" spans="2:26" x14ac:dyDescent="0.35">
      <c r="B184" s="5">
        <v>46262</v>
      </c>
      <c r="C184" s="8" t="s">
        <v>99</v>
      </c>
      <c r="D184" s="14" t="s">
        <v>4</v>
      </c>
      <c r="E184" s="8" t="s">
        <v>86</v>
      </c>
      <c r="F184" s="8" t="s">
        <v>21</v>
      </c>
      <c r="G184" s="25"/>
      <c r="H184" s="13">
        <f t="shared" si="16"/>
        <v>-452.69518181818177</v>
      </c>
      <c r="I184" s="20">
        <v>0</v>
      </c>
      <c r="J184" s="16">
        <f t="shared" si="22"/>
        <v>9.2499999999999995E-3</v>
      </c>
      <c r="K184" s="10" t="s">
        <v>18</v>
      </c>
      <c r="L184" s="11" t="s">
        <v>32</v>
      </c>
      <c r="M184" s="31">
        <v>564.75200292682928</v>
      </c>
      <c r="N184" s="31">
        <v>452.69518181818177</v>
      </c>
      <c r="O184" s="12">
        <f t="shared" si="17"/>
        <v>128.52616372886416</v>
      </c>
      <c r="P184" s="66" t="s">
        <v>172</v>
      </c>
      <c r="R184" s="58">
        <f t="shared" si="21"/>
        <v>0</v>
      </c>
      <c r="S184" s="5"/>
      <c r="T184" s="6"/>
      <c r="U184" s="7"/>
      <c r="V184" s="8"/>
      <c r="W184" s="8"/>
      <c r="X184" s="47"/>
      <c r="Y184" s="13"/>
      <c r="Z184" s="57"/>
    </row>
    <row r="185" spans="2:26" x14ac:dyDescent="0.35">
      <c r="B185" s="5">
        <v>46262</v>
      </c>
      <c r="C185" s="6" t="s">
        <v>124</v>
      </c>
      <c r="D185" s="7" t="s">
        <v>0</v>
      </c>
      <c r="E185" s="8" t="s">
        <v>86</v>
      </c>
      <c r="F185" s="8" t="s">
        <v>21</v>
      </c>
      <c r="G185" s="25"/>
      <c r="H185" s="13">
        <f t="shared" si="16"/>
        <v>-809.42098484848475</v>
      </c>
      <c r="I185" s="20">
        <v>0</v>
      </c>
      <c r="J185" s="16">
        <f t="shared" si="22"/>
        <v>9.2499999999999995E-3</v>
      </c>
      <c r="K185" s="19" t="s">
        <v>18</v>
      </c>
      <c r="L185" s="11" t="s">
        <v>32</v>
      </c>
      <c r="M185" s="31">
        <v>1012.6924357723577</v>
      </c>
      <c r="N185" s="31">
        <v>809.42098484848475</v>
      </c>
      <c r="O185" s="12">
        <f t="shared" si="17"/>
        <v>233.14689390942695</v>
      </c>
      <c r="P185" s="66" t="s">
        <v>172</v>
      </c>
      <c r="R185" s="58">
        <f t="shared" si="21"/>
        <v>0</v>
      </c>
      <c r="S185" s="5"/>
      <c r="T185" s="6"/>
      <c r="U185" s="7"/>
      <c r="V185" s="8"/>
      <c r="W185" s="8"/>
      <c r="X185" s="47"/>
      <c r="Y185" s="13"/>
      <c r="Z185" s="57"/>
    </row>
    <row r="186" spans="2:26" x14ac:dyDescent="0.35">
      <c r="B186" s="5">
        <v>46262</v>
      </c>
      <c r="C186" s="6" t="s">
        <v>125</v>
      </c>
      <c r="D186" s="7" t="s">
        <v>0</v>
      </c>
      <c r="E186" s="8" t="s">
        <v>86</v>
      </c>
      <c r="F186" s="8" t="s">
        <v>21</v>
      </c>
      <c r="G186" s="25"/>
      <c r="H186" s="13">
        <f t="shared" si="16"/>
        <v>-868.82311393939403</v>
      </c>
      <c r="I186" s="20">
        <v>0</v>
      </c>
      <c r="J186" s="16">
        <f t="shared" si="22"/>
        <v>9.2499999999999995E-3</v>
      </c>
      <c r="K186" s="19" t="s">
        <v>18</v>
      </c>
      <c r="L186" s="11" t="s">
        <v>32</v>
      </c>
      <c r="M186" s="31">
        <v>1074.3294959349594</v>
      </c>
      <c r="N186" s="31">
        <v>868.82311393939403</v>
      </c>
      <c r="O186" s="12">
        <f t="shared" si="17"/>
        <v>235.71029981369182</v>
      </c>
      <c r="P186" s="66" t="s">
        <v>172</v>
      </c>
      <c r="R186" s="58">
        <f t="shared" si="21"/>
        <v>0</v>
      </c>
      <c r="S186" s="5"/>
      <c r="T186" s="6"/>
      <c r="U186" s="7"/>
      <c r="V186" s="8"/>
      <c r="W186" s="8"/>
      <c r="X186" s="47"/>
      <c r="Y186" s="13"/>
      <c r="Z186" s="57"/>
    </row>
    <row r="187" spans="2:26" x14ac:dyDescent="0.35">
      <c r="B187" s="5">
        <v>46262</v>
      </c>
      <c r="C187" s="6" t="s">
        <v>126</v>
      </c>
      <c r="D187" s="7" t="s">
        <v>0</v>
      </c>
      <c r="E187" s="8" t="s">
        <v>86</v>
      </c>
      <c r="F187" s="8" t="s">
        <v>21</v>
      </c>
      <c r="G187" s="24"/>
      <c r="H187" s="13">
        <f t="shared" si="16"/>
        <v>-914.02707757575763</v>
      </c>
      <c r="I187" s="20">
        <v>0</v>
      </c>
      <c r="J187" s="16">
        <f t="shared" si="22"/>
        <v>9.2499999999999995E-3</v>
      </c>
      <c r="K187" s="19" t="s">
        <v>18</v>
      </c>
      <c r="L187" s="11" t="s">
        <v>32</v>
      </c>
      <c r="M187" s="31">
        <v>1198.0008253658536</v>
      </c>
      <c r="N187" s="31">
        <v>914.02707757575763</v>
      </c>
      <c r="O187" s="12">
        <f t="shared" si="17"/>
        <v>325.71026058093736</v>
      </c>
      <c r="P187" s="66" t="s">
        <v>172</v>
      </c>
      <c r="R187" s="58">
        <f t="shared" si="21"/>
        <v>0</v>
      </c>
      <c r="S187" s="5"/>
      <c r="T187" s="6"/>
      <c r="U187" s="7"/>
      <c r="V187" s="8"/>
      <c r="W187" s="8"/>
      <c r="X187" s="47"/>
      <c r="Y187" s="13"/>
      <c r="Z187" s="57"/>
    </row>
    <row r="188" spans="2:26" x14ac:dyDescent="0.35">
      <c r="B188" s="5">
        <v>46262</v>
      </c>
      <c r="C188" s="6" t="s">
        <v>127</v>
      </c>
      <c r="D188" s="7" t="s">
        <v>0</v>
      </c>
      <c r="E188" s="8" t="s">
        <v>86</v>
      </c>
      <c r="F188" s="8" t="s">
        <v>21</v>
      </c>
      <c r="G188" s="24"/>
      <c r="H188" s="13">
        <f t="shared" si="16"/>
        <v>-1025.0435563636363</v>
      </c>
      <c r="I188" s="20">
        <v>0</v>
      </c>
      <c r="J188" s="16">
        <f t="shared" si="22"/>
        <v>9.2499999999999995E-3</v>
      </c>
      <c r="K188" s="19" t="s">
        <v>18</v>
      </c>
      <c r="L188" s="11" t="s">
        <v>32</v>
      </c>
      <c r="M188" s="31">
        <v>1223.6429736585367</v>
      </c>
      <c r="N188" s="31">
        <v>1025.0435563636363</v>
      </c>
      <c r="O188" s="12">
        <f t="shared" si="17"/>
        <v>227.7881968376808</v>
      </c>
      <c r="P188" s="66" t="s">
        <v>172</v>
      </c>
      <c r="R188" s="58">
        <f t="shared" si="21"/>
        <v>0</v>
      </c>
      <c r="S188" s="5"/>
      <c r="T188" s="6"/>
      <c r="U188" s="7"/>
      <c r="V188" s="8"/>
      <c r="W188" s="8"/>
      <c r="X188" s="47"/>
      <c r="Y188" s="13"/>
      <c r="Z188" s="57"/>
    </row>
    <row r="189" spans="2:26" x14ac:dyDescent="0.35">
      <c r="B189" s="5">
        <v>46262</v>
      </c>
      <c r="C189" s="6" t="s">
        <v>114</v>
      </c>
      <c r="D189" s="7" t="s">
        <v>5</v>
      </c>
      <c r="E189" s="8" t="s">
        <v>86</v>
      </c>
      <c r="F189" s="8" t="s">
        <v>21</v>
      </c>
      <c r="G189" s="25"/>
      <c r="H189" s="13">
        <f t="shared" si="16"/>
        <v>-598.5222981818182</v>
      </c>
      <c r="I189" s="20">
        <v>0</v>
      </c>
      <c r="J189" s="16">
        <f t="shared" si="22"/>
        <v>9.2499999999999995E-3</v>
      </c>
      <c r="K189" s="10" t="s">
        <v>18</v>
      </c>
      <c r="L189" s="11" t="s">
        <v>32</v>
      </c>
      <c r="M189" s="31">
        <v>662.70499512195113</v>
      </c>
      <c r="N189" s="31">
        <v>598.5222981818182</v>
      </c>
      <c r="O189" s="12">
        <f t="shared" si="17"/>
        <v>73.615829307610085</v>
      </c>
      <c r="P189" s="66" t="s">
        <v>172</v>
      </c>
      <c r="R189" s="58">
        <f t="shared" si="21"/>
        <v>0</v>
      </c>
      <c r="S189" s="5"/>
      <c r="T189" s="6"/>
      <c r="U189" s="7"/>
      <c r="V189" s="8"/>
      <c r="W189" s="8"/>
      <c r="X189" s="47"/>
      <c r="Y189" s="13"/>
      <c r="Z189" s="57"/>
    </row>
    <row r="190" spans="2:26" x14ac:dyDescent="0.35">
      <c r="B190" s="5">
        <v>46262</v>
      </c>
      <c r="C190" s="6" t="s">
        <v>131</v>
      </c>
      <c r="D190" s="7" t="s">
        <v>3</v>
      </c>
      <c r="E190" s="8" t="s">
        <v>86</v>
      </c>
      <c r="F190" s="8" t="s">
        <v>21</v>
      </c>
      <c r="G190" s="25"/>
      <c r="H190" s="13">
        <f t="shared" si="16"/>
        <v>-175.05006424242401</v>
      </c>
      <c r="I190" s="20">
        <v>0</v>
      </c>
      <c r="J190" s="16">
        <f t="shared" si="22"/>
        <v>9.2499999999999995E-3</v>
      </c>
      <c r="K190" s="19" t="s">
        <v>18</v>
      </c>
      <c r="L190" s="11" t="s">
        <v>32</v>
      </c>
      <c r="M190" s="31">
        <v>324.29597008130082</v>
      </c>
      <c r="N190" s="31">
        <v>175.05006424242401</v>
      </c>
      <c r="O190" s="12">
        <f t="shared" si="17"/>
        <v>171.18104493711925</v>
      </c>
      <c r="P190" s="66" t="s">
        <v>172</v>
      </c>
      <c r="R190" s="58">
        <f t="shared" si="21"/>
        <v>0</v>
      </c>
      <c r="S190" s="5"/>
      <c r="T190" s="6"/>
      <c r="U190" s="7"/>
      <c r="V190" s="8"/>
      <c r="W190" s="8"/>
      <c r="X190" s="47"/>
      <c r="Y190" s="13"/>
      <c r="Z190" s="57"/>
    </row>
    <row r="191" spans="2:26" x14ac:dyDescent="0.35">
      <c r="B191" s="5">
        <v>46262</v>
      </c>
      <c r="C191" s="6" t="s">
        <v>132</v>
      </c>
      <c r="D191" s="7" t="s">
        <v>3</v>
      </c>
      <c r="E191" s="8" t="s">
        <v>86</v>
      </c>
      <c r="F191" s="8" t="s">
        <v>21</v>
      </c>
      <c r="G191" s="25"/>
      <c r="H191" s="13">
        <f t="shared" si="16"/>
        <v>-175.05006424242401</v>
      </c>
      <c r="I191" s="20">
        <v>0</v>
      </c>
      <c r="J191" s="16">
        <f t="shared" si="22"/>
        <v>9.2499999999999995E-3</v>
      </c>
      <c r="K191" s="19" t="s">
        <v>18</v>
      </c>
      <c r="L191" s="11" t="s">
        <v>32</v>
      </c>
      <c r="M191" s="34">
        <v>324.29597008130082</v>
      </c>
      <c r="N191" s="34">
        <v>175.05006424242401</v>
      </c>
      <c r="O191" s="12">
        <f t="shared" si="17"/>
        <v>171.18104493711925</v>
      </c>
      <c r="P191" s="66" t="s">
        <v>172</v>
      </c>
      <c r="R191" s="58">
        <f t="shared" si="21"/>
        <v>0</v>
      </c>
      <c r="S191" s="5"/>
      <c r="T191" s="6"/>
      <c r="U191" s="7"/>
      <c r="V191" s="8"/>
      <c r="W191" s="8"/>
      <c r="X191" s="47"/>
      <c r="Y191" s="13"/>
      <c r="Z191" s="57"/>
    </row>
    <row r="192" spans="2:26" x14ac:dyDescent="0.35">
      <c r="B192" s="5">
        <v>46262</v>
      </c>
      <c r="C192" s="6" t="s">
        <v>122</v>
      </c>
      <c r="D192" s="7" t="s">
        <v>3</v>
      </c>
      <c r="E192" s="8" t="s">
        <v>86</v>
      </c>
      <c r="F192" s="8" t="s">
        <v>21</v>
      </c>
      <c r="G192" s="25"/>
      <c r="H192" s="13">
        <f t="shared" si="16"/>
        <v>-203.67531393939396</v>
      </c>
      <c r="I192" s="20">
        <v>0</v>
      </c>
      <c r="J192" s="16">
        <f t="shared" si="22"/>
        <v>9.2499999999999995E-3</v>
      </c>
      <c r="K192" s="19" t="s">
        <v>18</v>
      </c>
      <c r="L192" s="11" t="s">
        <v>32</v>
      </c>
      <c r="M192" s="38">
        <v>240.83857951219514</v>
      </c>
      <c r="N192" s="34">
        <v>203.67531393939396</v>
      </c>
      <c r="O192" s="12">
        <f t="shared" si="17"/>
        <v>42.625267328242124</v>
      </c>
      <c r="P192" s="66" t="s">
        <v>172</v>
      </c>
      <c r="R192" s="58">
        <f t="shared" si="21"/>
        <v>0</v>
      </c>
      <c r="S192" s="5"/>
      <c r="T192" s="6"/>
      <c r="U192" s="7"/>
      <c r="V192" s="8"/>
      <c r="W192" s="8"/>
      <c r="X192" s="47"/>
      <c r="Y192" s="13"/>
      <c r="Z192" s="57"/>
    </row>
    <row r="193" spans="2:26" x14ac:dyDescent="0.35">
      <c r="B193" s="5">
        <v>46262</v>
      </c>
      <c r="C193" s="6" t="s">
        <v>129</v>
      </c>
      <c r="D193" s="7" t="s">
        <v>3</v>
      </c>
      <c r="E193" s="8" t="s">
        <v>86</v>
      </c>
      <c r="F193" s="8" t="s">
        <v>21</v>
      </c>
      <c r="G193" s="25"/>
      <c r="H193" s="13">
        <f t="shared" si="16"/>
        <v>-209.05006424242421</v>
      </c>
      <c r="I193" s="20">
        <v>0</v>
      </c>
      <c r="J193" s="16">
        <f t="shared" si="22"/>
        <v>9.2499999999999995E-3</v>
      </c>
      <c r="K193" s="19" t="s">
        <v>18</v>
      </c>
      <c r="L193" s="11" t="s">
        <v>32</v>
      </c>
      <c r="M193" s="31">
        <v>243.357521300813</v>
      </c>
      <c r="N193" s="31">
        <v>209.05006424242421</v>
      </c>
      <c r="O193" s="12">
        <f t="shared" si="17"/>
        <v>39.349731675256102</v>
      </c>
      <c r="P193" s="66" t="s">
        <v>172</v>
      </c>
      <c r="R193" s="58">
        <f t="shared" si="21"/>
        <v>0</v>
      </c>
      <c r="S193" s="5"/>
      <c r="T193" s="6"/>
      <c r="U193" s="7"/>
      <c r="V193" s="8"/>
      <c r="W193" s="8"/>
      <c r="X193" s="47"/>
      <c r="Y193" s="13"/>
      <c r="Z193" s="57"/>
    </row>
    <row r="194" spans="2:26" x14ac:dyDescent="0.35">
      <c r="B194" s="5">
        <v>46262</v>
      </c>
      <c r="C194" s="6" t="s">
        <v>130</v>
      </c>
      <c r="D194" s="7" t="s">
        <v>3</v>
      </c>
      <c r="E194" s="8" t="s">
        <v>86</v>
      </c>
      <c r="F194" s="8" t="s">
        <v>21</v>
      </c>
      <c r="G194" s="24"/>
      <c r="H194" s="13">
        <f t="shared" si="16"/>
        <v>-209.05006424242421</v>
      </c>
      <c r="I194" s="20">
        <v>0</v>
      </c>
      <c r="J194" s="16">
        <f t="shared" si="22"/>
        <v>9.2499999999999995E-3</v>
      </c>
      <c r="K194" s="19" t="s">
        <v>18</v>
      </c>
      <c r="L194" s="11" t="s">
        <v>32</v>
      </c>
      <c r="M194" s="31">
        <v>243.357521300813</v>
      </c>
      <c r="N194" s="31">
        <v>209.05006424242421</v>
      </c>
      <c r="O194" s="12">
        <f t="shared" si="17"/>
        <v>39.349731675256102</v>
      </c>
      <c r="P194" s="66" t="s">
        <v>172</v>
      </c>
      <c r="R194" s="58">
        <f t="shared" si="21"/>
        <v>0</v>
      </c>
      <c r="S194" s="5"/>
      <c r="T194" s="6"/>
      <c r="U194" s="7"/>
      <c r="V194" s="8"/>
      <c r="W194" s="8"/>
      <c r="X194" s="47"/>
      <c r="Y194" s="13"/>
      <c r="Z194" s="57"/>
    </row>
    <row r="195" spans="2:26" x14ac:dyDescent="0.35">
      <c r="B195" s="5">
        <v>46262</v>
      </c>
      <c r="C195" s="26" t="s">
        <v>101</v>
      </c>
      <c r="D195" s="27" t="s">
        <v>2</v>
      </c>
      <c r="E195" s="28" t="s">
        <v>65</v>
      </c>
      <c r="F195" s="28" t="s">
        <v>67</v>
      </c>
      <c r="G195" s="93"/>
      <c r="H195" s="13">
        <f t="shared" ref="H195:H258" si="24">((G195))*(1-I195)*(1-J195)-N195</f>
        <v>-456.76925138211379</v>
      </c>
      <c r="I195" s="9">
        <v>0.12</v>
      </c>
      <c r="J195" s="16">
        <f t="shared" si="22"/>
        <v>9.2499999999999995E-3</v>
      </c>
      <c r="K195" s="10" t="s">
        <v>18</v>
      </c>
      <c r="L195" s="11" t="s">
        <v>28</v>
      </c>
      <c r="M195" s="31">
        <v>445.71607804878045</v>
      </c>
      <c r="N195" s="31">
        <v>456.76925138211379</v>
      </c>
      <c r="O195" s="12">
        <f t="shared" ref="O195:O258" si="25">IF(I195=0,((G195+M195-N195)/(1-J195))/0.88,(G195+M195-N195))</f>
        <v>-11.053173333333348</v>
      </c>
      <c r="P195" s="66" t="s">
        <v>183</v>
      </c>
      <c r="R195" s="58">
        <f t="shared" si="21"/>
        <v>0</v>
      </c>
      <c r="S195" s="5"/>
      <c r="T195" s="6"/>
      <c r="U195" s="7"/>
      <c r="V195" s="8"/>
      <c r="W195" s="8"/>
      <c r="X195" s="47"/>
      <c r="Y195" s="13"/>
      <c r="Z195" s="57"/>
    </row>
    <row r="196" spans="2:26" x14ac:dyDescent="0.35">
      <c r="B196" s="5">
        <v>46262</v>
      </c>
      <c r="C196" s="6" t="s">
        <v>121</v>
      </c>
      <c r="D196" s="7" t="s">
        <v>3</v>
      </c>
      <c r="E196" s="15" t="s">
        <v>179</v>
      </c>
      <c r="F196" s="8" t="s">
        <v>178</v>
      </c>
      <c r="G196" s="47">
        <v>5550</v>
      </c>
      <c r="H196" s="13">
        <f t="shared" si="24"/>
        <v>5498.6625000000004</v>
      </c>
      <c r="I196" s="20">
        <v>0</v>
      </c>
      <c r="J196" s="16">
        <f t="shared" si="22"/>
        <v>9.2499999999999995E-3</v>
      </c>
      <c r="K196" s="19" t="s">
        <v>31</v>
      </c>
      <c r="L196" s="11" t="s">
        <v>32</v>
      </c>
      <c r="M196" s="31">
        <v>243.357521300813</v>
      </c>
      <c r="N196" s="31"/>
      <c r="O196" s="12">
        <f t="shared" si="25"/>
        <v>6644.8254551198734</v>
      </c>
      <c r="P196" s="66"/>
      <c r="R196" s="58">
        <f t="shared" si="21"/>
        <v>0</v>
      </c>
      <c r="S196" s="5"/>
      <c r="T196" s="6"/>
      <c r="U196" s="7"/>
      <c r="V196" s="8"/>
      <c r="W196" s="8"/>
      <c r="X196" s="47"/>
      <c r="Y196" s="13"/>
      <c r="Z196" s="57"/>
    </row>
    <row r="197" spans="2:26" x14ac:dyDescent="0.35">
      <c r="B197" s="5">
        <v>46262</v>
      </c>
      <c r="C197" s="6" t="s">
        <v>122</v>
      </c>
      <c r="D197" s="7" t="s">
        <v>3</v>
      </c>
      <c r="E197" s="15" t="s">
        <v>179</v>
      </c>
      <c r="F197" s="8" t="s">
        <v>178</v>
      </c>
      <c r="G197" s="47">
        <v>5550</v>
      </c>
      <c r="H197" s="13">
        <f t="shared" si="24"/>
        <v>5498.6625000000004</v>
      </c>
      <c r="I197" s="20">
        <v>0</v>
      </c>
      <c r="J197" s="16">
        <f t="shared" si="22"/>
        <v>9.2499999999999995E-3</v>
      </c>
      <c r="K197" s="19" t="s">
        <v>31</v>
      </c>
      <c r="L197" s="11" t="s">
        <v>32</v>
      </c>
      <c r="M197" s="33">
        <v>240.83857951219514</v>
      </c>
      <c r="N197" s="31"/>
      <c r="O197" s="12">
        <f t="shared" si="25"/>
        <v>6641.9362965524224</v>
      </c>
      <c r="P197" s="66"/>
      <c r="R197" s="58">
        <f t="shared" ref="R197:R209" si="26">IFERROR(H197/Y197-1,0)</f>
        <v>0</v>
      </c>
      <c r="S197" s="5"/>
      <c r="T197" s="6"/>
      <c r="U197" s="7"/>
      <c r="V197" s="8"/>
      <c r="W197" s="8"/>
      <c r="X197" s="47"/>
      <c r="Y197" s="13"/>
      <c r="Z197" s="57"/>
    </row>
    <row r="198" spans="2:26" x14ac:dyDescent="0.35">
      <c r="B198" s="5">
        <v>46262</v>
      </c>
      <c r="C198" s="6" t="s">
        <v>123</v>
      </c>
      <c r="D198" s="7" t="s">
        <v>3</v>
      </c>
      <c r="E198" s="15" t="s">
        <v>179</v>
      </c>
      <c r="F198" s="8" t="s">
        <v>178</v>
      </c>
      <c r="G198" s="47">
        <v>5550</v>
      </c>
      <c r="H198" s="13">
        <f t="shared" si="24"/>
        <v>5498.6625000000004</v>
      </c>
      <c r="I198" s="20">
        <v>0</v>
      </c>
      <c r="J198" s="16">
        <f t="shared" si="22"/>
        <v>9.2499999999999995E-3</v>
      </c>
      <c r="K198" s="19" t="s">
        <v>31</v>
      </c>
      <c r="L198" s="11" t="s">
        <v>32</v>
      </c>
      <c r="M198" s="31">
        <v>324.29597008130082</v>
      </c>
      <c r="N198" s="31"/>
      <c r="O198" s="12">
        <f t="shared" si="25"/>
        <v>6737.6596816935062</v>
      </c>
      <c r="P198" s="66"/>
      <c r="R198" s="58">
        <f t="shared" si="26"/>
        <v>0</v>
      </c>
      <c r="S198" s="5"/>
      <c r="T198" s="6"/>
      <c r="U198" s="7"/>
      <c r="V198" s="8"/>
      <c r="W198" s="8"/>
      <c r="X198" s="47"/>
      <c r="Y198" s="13"/>
      <c r="Z198" s="57"/>
    </row>
    <row r="199" spans="2:26" x14ac:dyDescent="0.35">
      <c r="B199" s="5">
        <v>46262</v>
      </c>
      <c r="C199" s="8" t="s">
        <v>98</v>
      </c>
      <c r="D199" s="7" t="s">
        <v>4</v>
      </c>
      <c r="E199" s="8" t="s">
        <v>73</v>
      </c>
      <c r="F199" s="8" t="s">
        <v>74</v>
      </c>
      <c r="G199" s="25"/>
      <c r="H199" s="13">
        <f t="shared" si="24"/>
        <v>-938.32</v>
      </c>
      <c r="I199" s="9">
        <v>0.12</v>
      </c>
      <c r="J199" s="16">
        <f t="shared" si="22"/>
        <v>9.2499999999999995E-3</v>
      </c>
      <c r="K199" s="10" t="s">
        <v>18</v>
      </c>
      <c r="L199" s="11" t="s">
        <v>50</v>
      </c>
      <c r="M199" s="31">
        <v>489.18180975609749</v>
      </c>
      <c r="N199" s="36">
        <v>938.32</v>
      </c>
      <c r="O199" s="12">
        <f t="shared" si="25"/>
        <v>-449.13819024390256</v>
      </c>
      <c r="P199" s="66" t="s">
        <v>182</v>
      </c>
      <c r="R199" s="58">
        <f t="shared" si="26"/>
        <v>0</v>
      </c>
      <c r="S199" s="5"/>
      <c r="T199" s="6"/>
      <c r="U199" s="7"/>
      <c r="V199" s="8"/>
      <c r="W199" s="8"/>
      <c r="X199" s="47"/>
      <c r="Y199" s="13"/>
      <c r="Z199" s="57"/>
    </row>
    <row r="200" spans="2:26" x14ac:dyDescent="0.35">
      <c r="B200" s="5">
        <v>46262</v>
      </c>
      <c r="C200" s="8" t="s">
        <v>97</v>
      </c>
      <c r="D200" s="7" t="s">
        <v>4</v>
      </c>
      <c r="E200" s="8" t="s">
        <v>73</v>
      </c>
      <c r="F200" s="8" t="s">
        <v>74</v>
      </c>
      <c r="G200" s="25"/>
      <c r="H200" s="13">
        <f t="shared" si="24"/>
        <v>-939.12</v>
      </c>
      <c r="I200" s="9">
        <v>0.12</v>
      </c>
      <c r="J200" s="16">
        <f t="shared" si="22"/>
        <v>9.2499999999999995E-3</v>
      </c>
      <c r="K200" s="10" t="s">
        <v>18</v>
      </c>
      <c r="L200" s="10" t="s">
        <v>50</v>
      </c>
      <c r="M200" s="34">
        <v>493.74063902439019</v>
      </c>
      <c r="N200" s="37">
        <v>939.12</v>
      </c>
      <c r="O200" s="12">
        <f t="shared" si="25"/>
        <v>-445.37936097560981</v>
      </c>
      <c r="P200" s="66" t="s">
        <v>182</v>
      </c>
      <c r="R200" s="58">
        <f t="shared" si="26"/>
        <v>0</v>
      </c>
      <c r="S200" s="5"/>
      <c r="T200" s="6"/>
      <c r="U200" s="7"/>
      <c r="V200" s="8"/>
      <c r="W200" s="8"/>
      <c r="X200" s="47"/>
      <c r="Y200" s="13"/>
      <c r="Z200" s="57"/>
    </row>
    <row r="201" spans="2:26" x14ac:dyDescent="0.35">
      <c r="B201" s="5">
        <v>46262</v>
      </c>
      <c r="C201" s="8" t="s">
        <v>99</v>
      </c>
      <c r="D201" s="7" t="s">
        <v>4</v>
      </c>
      <c r="E201" s="8" t="s">
        <v>73</v>
      </c>
      <c r="F201" s="8" t="s">
        <v>74</v>
      </c>
      <c r="G201" s="25"/>
      <c r="H201" s="13">
        <f t="shared" si="24"/>
        <v>-979.06</v>
      </c>
      <c r="I201" s="9">
        <v>0.12</v>
      </c>
      <c r="J201" s="16">
        <f t="shared" si="22"/>
        <v>9.2499999999999995E-3</v>
      </c>
      <c r="K201" s="10" t="s">
        <v>18</v>
      </c>
      <c r="L201" s="10" t="s">
        <v>50</v>
      </c>
      <c r="M201" s="34">
        <v>564.75200292682928</v>
      </c>
      <c r="N201" s="37">
        <v>979.06</v>
      </c>
      <c r="O201" s="12">
        <f t="shared" si="25"/>
        <v>-414.30799707317067</v>
      </c>
      <c r="P201" s="66" t="s">
        <v>182</v>
      </c>
      <c r="R201" s="58">
        <f t="shared" si="26"/>
        <v>0</v>
      </c>
      <c r="S201" s="5"/>
      <c r="T201" s="6"/>
      <c r="U201" s="7"/>
      <c r="V201" s="8"/>
      <c r="W201" s="8"/>
      <c r="X201" s="47"/>
      <c r="Y201" s="13"/>
      <c r="Z201" s="57"/>
    </row>
    <row r="202" spans="2:26" x14ac:dyDescent="0.35">
      <c r="B202" s="5">
        <v>46262</v>
      </c>
      <c r="C202" s="6" t="s">
        <v>116</v>
      </c>
      <c r="D202" s="7" t="s">
        <v>6</v>
      </c>
      <c r="E202" s="8" t="s">
        <v>73</v>
      </c>
      <c r="F202" s="8" t="s">
        <v>74</v>
      </c>
      <c r="G202" s="25"/>
      <c r="H202" s="13">
        <f t="shared" si="24"/>
        <v>-794.88</v>
      </c>
      <c r="I202" s="9">
        <v>0.12</v>
      </c>
      <c r="J202" s="16">
        <f t="shared" si="22"/>
        <v>9.2499999999999995E-3</v>
      </c>
      <c r="K202" s="10" t="s">
        <v>18</v>
      </c>
      <c r="L202" s="10" t="s">
        <v>50</v>
      </c>
      <c r="M202" s="34">
        <v>1089.880593495935</v>
      </c>
      <c r="N202" s="43">
        <v>794.88</v>
      </c>
      <c r="O202" s="12">
        <f t="shared" si="25"/>
        <v>295.00059349593505</v>
      </c>
      <c r="P202" s="66" t="s">
        <v>182</v>
      </c>
      <c r="R202" s="58">
        <f t="shared" si="26"/>
        <v>0</v>
      </c>
      <c r="S202" s="5"/>
      <c r="T202" s="6"/>
      <c r="U202" s="7"/>
      <c r="V202" s="8"/>
      <c r="W202" s="8"/>
      <c r="X202" s="47"/>
      <c r="Y202" s="13"/>
      <c r="Z202" s="57"/>
    </row>
    <row r="203" spans="2:26" x14ac:dyDescent="0.35">
      <c r="B203" s="5">
        <v>46262</v>
      </c>
      <c r="C203" s="6" t="s">
        <v>118</v>
      </c>
      <c r="D203" s="7" t="s">
        <v>6</v>
      </c>
      <c r="E203" s="8" t="s">
        <v>73</v>
      </c>
      <c r="F203" s="8" t="s">
        <v>74</v>
      </c>
      <c r="G203" s="25"/>
      <c r="H203" s="13">
        <f t="shared" si="24"/>
        <v>-893.58</v>
      </c>
      <c r="I203" s="9">
        <v>0.12</v>
      </c>
      <c r="J203" s="16">
        <f t="shared" si="22"/>
        <v>9.2499999999999995E-3</v>
      </c>
      <c r="K203" s="10" t="s">
        <v>18</v>
      </c>
      <c r="L203" s="10" t="s">
        <v>50</v>
      </c>
      <c r="M203" s="34">
        <v>1026.9603073170733</v>
      </c>
      <c r="N203" s="43">
        <v>893.58</v>
      </c>
      <c r="O203" s="12">
        <f t="shared" si="25"/>
        <v>133.38030731707329</v>
      </c>
      <c r="P203" s="66" t="s">
        <v>182</v>
      </c>
      <c r="R203" s="58">
        <f t="shared" si="26"/>
        <v>0</v>
      </c>
      <c r="S203" s="5"/>
      <c r="T203" s="6"/>
      <c r="U203" s="7"/>
      <c r="V203" s="8"/>
      <c r="W203" s="8"/>
      <c r="X203" s="47"/>
      <c r="Y203" s="13"/>
      <c r="Z203" s="57"/>
    </row>
    <row r="204" spans="2:26" x14ac:dyDescent="0.35">
      <c r="B204" s="5">
        <v>46262</v>
      </c>
      <c r="C204" s="6" t="s">
        <v>119</v>
      </c>
      <c r="D204" s="7" t="s">
        <v>6</v>
      </c>
      <c r="E204" s="8" t="s">
        <v>73</v>
      </c>
      <c r="F204" s="8" t="s">
        <v>74</v>
      </c>
      <c r="G204" s="93"/>
      <c r="H204" s="69">
        <f t="shared" si="24"/>
        <v>-893.58</v>
      </c>
      <c r="I204" s="9">
        <v>0.12</v>
      </c>
      <c r="J204" s="16">
        <f t="shared" si="22"/>
        <v>9.2499999999999995E-3</v>
      </c>
      <c r="K204" s="10" t="s">
        <v>18</v>
      </c>
      <c r="L204" s="11" t="s">
        <v>50</v>
      </c>
      <c r="M204" s="34">
        <v>1004.1712263414634</v>
      </c>
      <c r="N204" s="43">
        <v>893.58</v>
      </c>
      <c r="O204" s="12">
        <f t="shared" si="25"/>
        <v>110.59122634146331</v>
      </c>
      <c r="P204" s="66" t="s">
        <v>182</v>
      </c>
      <c r="R204" s="58">
        <f t="shared" si="26"/>
        <v>0</v>
      </c>
      <c r="S204" s="5"/>
      <c r="T204" s="6"/>
      <c r="U204" s="7"/>
      <c r="V204" s="8"/>
      <c r="W204" s="8"/>
      <c r="X204" s="47"/>
      <c r="Y204" s="13"/>
      <c r="Z204" s="57"/>
    </row>
    <row r="205" spans="2:26" x14ac:dyDescent="0.35">
      <c r="B205" s="5">
        <v>46262</v>
      </c>
      <c r="C205" s="6" t="s">
        <v>115</v>
      </c>
      <c r="D205" s="7" t="s">
        <v>6</v>
      </c>
      <c r="E205" s="8" t="s">
        <v>73</v>
      </c>
      <c r="F205" s="8" t="s">
        <v>74</v>
      </c>
      <c r="G205" s="93"/>
      <c r="H205" s="69">
        <f t="shared" si="24"/>
        <v>-760.6</v>
      </c>
      <c r="I205" s="9">
        <v>0.12</v>
      </c>
      <c r="J205" s="16">
        <f t="shared" si="22"/>
        <v>9.2499999999999995E-3</v>
      </c>
      <c r="K205" s="10" t="s">
        <v>18</v>
      </c>
      <c r="L205" s="11" t="s">
        <v>50</v>
      </c>
      <c r="M205" s="34">
        <v>891.34357886178839</v>
      </c>
      <c r="N205" s="43">
        <v>760.6</v>
      </c>
      <c r="O205" s="12">
        <f t="shared" si="25"/>
        <v>130.74357886178836</v>
      </c>
      <c r="P205" s="66" t="s">
        <v>182</v>
      </c>
      <c r="R205" s="58">
        <f t="shared" si="26"/>
        <v>0</v>
      </c>
      <c r="S205" s="5"/>
      <c r="T205" s="6"/>
      <c r="U205" s="7"/>
      <c r="V205" s="8"/>
      <c r="W205" s="8"/>
      <c r="X205" s="47"/>
      <c r="Y205" s="13"/>
      <c r="Z205" s="57"/>
    </row>
    <row r="206" spans="2:26" x14ac:dyDescent="0.35">
      <c r="B206" s="5">
        <v>46262</v>
      </c>
      <c r="C206" s="6" t="s">
        <v>117</v>
      </c>
      <c r="D206" s="7" t="s">
        <v>6</v>
      </c>
      <c r="E206" s="8" t="s">
        <v>73</v>
      </c>
      <c r="F206" s="8" t="s">
        <v>74</v>
      </c>
      <c r="G206" s="93"/>
      <c r="H206" s="69">
        <f t="shared" si="24"/>
        <v>-835.19</v>
      </c>
      <c r="I206" s="9">
        <v>0.12</v>
      </c>
      <c r="J206" s="16">
        <f t="shared" si="22"/>
        <v>9.2499999999999995E-3</v>
      </c>
      <c r="K206" s="10" t="s">
        <v>18</v>
      </c>
      <c r="L206" s="11" t="s">
        <v>50</v>
      </c>
      <c r="M206" s="34">
        <v>942.9343300813008</v>
      </c>
      <c r="N206" s="43">
        <v>835.19</v>
      </c>
      <c r="O206" s="12">
        <f t="shared" si="25"/>
        <v>107.74433008130075</v>
      </c>
      <c r="P206" s="66" t="s">
        <v>182</v>
      </c>
      <c r="R206" s="58">
        <f t="shared" si="26"/>
        <v>0</v>
      </c>
      <c r="S206" s="5"/>
      <c r="T206" s="6"/>
      <c r="U206" s="7"/>
      <c r="V206" s="8"/>
      <c r="W206" s="8"/>
      <c r="X206" s="47"/>
      <c r="Y206" s="13"/>
      <c r="Z206" s="57"/>
    </row>
    <row r="207" spans="2:26" x14ac:dyDescent="0.35">
      <c r="B207" s="5">
        <v>46262</v>
      </c>
      <c r="C207" s="6" t="s">
        <v>120</v>
      </c>
      <c r="D207" s="7" t="s">
        <v>7</v>
      </c>
      <c r="E207" s="8" t="s">
        <v>73</v>
      </c>
      <c r="F207" s="8" t="s">
        <v>74</v>
      </c>
      <c r="G207" s="93"/>
      <c r="H207" s="69">
        <f t="shared" si="24"/>
        <v>-716</v>
      </c>
      <c r="I207" s="9">
        <v>0.12</v>
      </c>
      <c r="J207" s="16">
        <f t="shared" si="22"/>
        <v>9.2499999999999995E-3</v>
      </c>
      <c r="K207" s="10" t="s">
        <v>18</v>
      </c>
      <c r="L207" s="11" t="s">
        <v>50</v>
      </c>
      <c r="M207" s="34">
        <v>911.61348455284553</v>
      </c>
      <c r="N207" s="43">
        <v>716</v>
      </c>
      <c r="O207" s="12">
        <f t="shared" si="25"/>
        <v>195.61348455284553</v>
      </c>
      <c r="P207" s="66" t="s">
        <v>182</v>
      </c>
      <c r="R207" s="58">
        <f t="shared" si="26"/>
        <v>0</v>
      </c>
      <c r="S207" s="5"/>
      <c r="T207" s="6"/>
      <c r="U207" s="7"/>
      <c r="V207" s="8"/>
      <c r="W207" s="8"/>
      <c r="X207" s="47"/>
      <c r="Y207" s="13"/>
      <c r="Z207" s="57"/>
    </row>
    <row r="208" spans="2:26" x14ac:dyDescent="0.35">
      <c r="B208" s="5">
        <v>46262</v>
      </c>
      <c r="C208" s="6" t="s">
        <v>114</v>
      </c>
      <c r="D208" s="7" t="s">
        <v>5</v>
      </c>
      <c r="E208" s="8" t="s">
        <v>73</v>
      </c>
      <c r="F208" s="8" t="s">
        <v>74</v>
      </c>
      <c r="G208" s="93"/>
      <c r="H208" s="69">
        <f t="shared" si="24"/>
        <v>-563.05999999999995</v>
      </c>
      <c r="I208" s="9">
        <v>0.12</v>
      </c>
      <c r="J208" s="16">
        <f t="shared" si="22"/>
        <v>9.2499999999999995E-3</v>
      </c>
      <c r="K208" s="10" t="s">
        <v>18</v>
      </c>
      <c r="L208" s="11" t="s">
        <v>50</v>
      </c>
      <c r="M208" s="34">
        <v>662.70499512195113</v>
      </c>
      <c r="N208" s="43">
        <v>563.05999999999995</v>
      </c>
      <c r="O208" s="12">
        <f t="shared" si="25"/>
        <v>99.644995121951183</v>
      </c>
      <c r="P208" s="66" t="s">
        <v>182</v>
      </c>
      <c r="R208" s="58">
        <f t="shared" si="26"/>
        <v>0</v>
      </c>
      <c r="S208" s="5"/>
      <c r="T208" s="6"/>
      <c r="U208" s="7"/>
      <c r="V208" s="8"/>
      <c r="W208" s="8"/>
      <c r="X208" s="47"/>
      <c r="Y208" s="13"/>
      <c r="Z208" s="57"/>
    </row>
    <row r="209" spans="2:26" x14ac:dyDescent="0.35">
      <c r="B209" s="5">
        <v>46262</v>
      </c>
      <c r="C209" s="6" t="s">
        <v>120</v>
      </c>
      <c r="D209" s="7" t="s">
        <v>7</v>
      </c>
      <c r="E209" s="8" t="s">
        <v>70</v>
      </c>
      <c r="F209" s="8" t="s">
        <v>68</v>
      </c>
      <c r="G209" s="93"/>
      <c r="H209" s="69">
        <f t="shared" si="24"/>
        <v>0</v>
      </c>
      <c r="I209" s="20">
        <v>0</v>
      </c>
      <c r="J209" s="16">
        <f t="shared" si="22"/>
        <v>9.2499999999999995E-3</v>
      </c>
      <c r="K209" s="10" t="s">
        <v>31</v>
      </c>
      <c r="L209" s="11" t="s">
        <v>32</v>
      </c>
      <c r="M209" s="34">
        <v>911.61348455284553</v>
      </c>
      <c r="N209" s="34"/>
      <c r="O209" s="12">
        <f t="shared" si="25"/>
        <v>1045.5961789196035</v>
      </c>
      <c r="P209" s="66" t="s">
        <v>182</v>
      </c>
      <c r="R209" s="58">
        <f t="shared" si="26"/>
        <v>0</v>
      </c>
      <c r="S209" s="5"/>
      <c r="T209" s="6"/>
      <c r="U209" s="7"/>
      <c r="V209" s="8"/>
      <c r="W209" s="8"/>
      <c r="X209" s="47"/>
      <c r="Y209" s="13"/>
      <c r="Z209" s="57"/>
    </row>
    <row r="210" spans="2:26" x14ac:dyDescent="0.35">
      <c r="B210" s="5">
        <v>46262</v>
      </c>
      <c r="C210" s="49" t="s">
        <v>128</v>
      </c>
      <c r="D210" s="50" t="s">
        <v>15</v>
      </c>
      <c r="E210" s="67" t="s">
        <v>171</v>
      </c>
      <c r="F210" s="67" t="s">
        <v>95</v>
      </c>
      <c r="G210" s="93">
        <f>(6250)</f>
        <v>6250</v>
      </c>
      <c r="H210" s="69">
        <f t="shared" si="24"/>
        <v>4644.6152910569108</v>
      </c>
      <c r="I210" s="9">
        <v>0.12</v>
      </c>
      <c r="J210" s="41">
        <v>0</v>
      </c>
      <c r="K210" s="19" t="s">
        <v>18</v>
      </c>
      <c r="L210" s="19" t="s">
        <v>28</v>
      </c>
      <c r="M210" s="34">
        <v>1439.1768234146339</v>
      </c>
      <c r="N210" s="34">
        <v>855.38470894308932</v>
      </c>
      <c r="O210" s="12">
        <f t="shared" si="25"/>
        <v>6833.7921144715447</v>
      </c>
      <c r="P210" s="68" t="s">
        <v>193</v>
      </c>
      <c r="R210" s="58">
        <f>IFERROR(#REF!/Y210-1,0)</f>
        <v>0</v>
      </c>
      <c r="S210" s="5"/>
      <c r="T210" s="6"/>
      <c r="U210" s="7"/>
      <c r="V210" s="8"/>
      <c r="W210" s="8"/>
      <c r="X210" s="47"/>
      <c r="Y210" s="13"/>
      <c r="Z210" s="57"/>
    </row>
    <row r="211" spans="2:26" x14ac:dyDescent="0.35">
      <c r="B211" s="5">
        <v>46262</v>
      </c>
      <c r="C211" s="49" t="s">
        <v>98</v>
      </c>
      <c r="D211" s="50" t="s">
        <v>4</v>
      </c>
      <c r="E211" s="67" t="s">
        <v>171</v>
      </c>
      <c r="F211" s="67" t="s">
        <v>95</v>
      </c>
      <c r="G211" s="93">
        <f>(6250)</f>
        <v>6250</v>
      </c>
      <c r="H211" s="69">
        <f t="shared" si="24"/>
        <v>5123.8189164227642</v>
      </c>
      <c r="I211" s="9">
        <v>0.12</v>
      </c>
      <c r="J211" s="41">
        <v>0</v>
      </c>
      <c r="K211" s="19" t="s">
        <v>18</v>
      </c>
      <c r="L211" s="19" t="s">
        <v>28</v>
      </c>
      <c r="M211" s="34">
        <v>489.18180975609749</v>
      </c>
      <c r="N211" s="34">
        <v>376.18108357723577</v>
      </c>
      <c r="O211" s="12">
        <f t="shared" si="25"/>
        <v>6363.0007261788614</v>
      </c>
      <c r="P211" s="68" t="s">
        <v>193</v>
      </c>
      <c r="R211" s="58">
        <f t="shared" ref="R211:R242" si="27">IFERROR(H211/Y211-1,0)</f>
        <v>0</v>
      </c>
      <c r="S211" s="5"/>
      <c r="T211" s="6"/>
      <c r="U211" s="7"/>
      <c r="V211" s="8"/>
      <c r="W211" s="8"/>
      <c r="X211" s="47"/>
      <c r="Y211" s="13"/>
      <c r="Z211" s="57"/>
    </row>
    <row r="212" spans="2:26" x14ac:dyDescent="0.35">
      <c r="B212" s="5">
        <v>46262</v>
      </c>
      <c r="C212" s="49" t="s">
        <v>99</v>
      </c>
      <c r="D212" s="50" t="s">
        <v>4</v>
      </c>
      <c r="E212" s="67" t="s">
        <v>171</v>
      </c>
      <c r="F212" s="67" t="s">
        <v>95</v>
      </c>
      <c r="G212" s="93">
        <f>(6250)</f>
        <v>6250</v>
      </c>
      <c r="H212" s="69">
        <f t="shared" si="24"/>
        <v>5136.1446399999995</v>
      </c>
      <c r="I212" s="9">
        <v>0.12</v>
      </c>
      <c r="J212" s="41">
        <v>0</v>
      </c>
      <c r="K212" s="19" t="s">
        <v>18</v>
      </c>
      <c r="L212" s="19" t="s">
        <v>28</v>
      </c>
      <c r="M212" s="34">
        <v>564.75200292682928</v>
      </c>
      <c r="N212" s="34">
        <v>363.85536000000008</v>
      </c>
      <c r="O212" s="12">
        <f t="shared" si="25"/>
        <v>6450.8966429268285</v>
      </c>
      <c r="P212" s="68" t="s">
        <v>193</v>
      </c>
      <c r="R212" s="58">
        <f t="shared" si="27"/>
        <v>0</v>
      </c>
      <c r="S212" s="5"/>
      <c r="T212" s="6"/>
      <c r="U212" s="7"/>
      <c r="V212" s="8"/>
      <c r="W212" s="8"/>
      <c r="X212" s="47"/>
      <c r="Y212" s="13"/>
      <c r="Z212" s="57"/>
    </row>
    <row r="213" spans="2:26" x14ac:dyDescent="0.35">
      <c r="B213" s="5">
        <v>46262</v>
      </c>
      <c r="C213" s="49" t="s">
        <v>97</v>
      </c>
      <c r="D213" s="50" t="s">
        <v>4</v>
      </c>
      <c r="E213" s="67" t="s">
        <v>171</v>
      </c>
      <c r="F213" s="67" t="s">
        <v>95</v>
      </c>
      <c r="G213" s="93">
        <f>(6250)</f>
        <v>6250</v>
      </c>
      <c r="H213" s="69">
        <f t="shared" si="24"/>
        <v>5110.0141060162605</v>
      </c>
      <c r="I213" s="9">
        <v>0.12</v>
      </c>
      <c r="J213" s="41">
        <v>0</v>
      </c>
      <c r="K213" s="19" t="s">
        <v>18</v>
      </c>
      <c r="L213" s="19" t="s">
        <v>28</v>
      </c>
      <c r="M213" s="34">
        <v>493.74063902439019</v>
      </c>
      <c r="N213" s="34">
        <v>389.9858939837398</v>
      </c>
      <c r="O213" s="12">
        <f t="shared" si="25"/>
        <v>6353.754745040651</v>
      </c>
      <c r="P213" s="68" t="s">
        <v>193</v>
      </c>
      <c r="R213" s="58">
        <f t="shared" si="27"/>
        <v>0</v>
      </c>
      <c r="S213" s="5"/>
      <c r="T213" s="6"/>
      <c r="U213" s="7"/>
      <c r="V213" s="8"/>
      <c r="W213" s="8"/>
      <c r="X213" s="47"/>
      <c r="Y213" s="13"/>
      <c r="Z213" s="57"/>
    </row>
    <row r="214" spans="2:26" x14ac:dyDescent="0.35">
      <c r="B214" s="5">
        <v>46262</v>
      </c>
      <c r="C214" s="8" t="s">
        <v>151</v>
      </c>
      <c r="D214" s="27" t="s">
        <v>6</v>
      </c>
      <c r="E214" s="67" t="s">
        <v>171</v>
      </c>
      <c r="F214" s="67" t="s">
        <v>95</v>
      </c>
      <c r="G214" s="93">
        <f>(6250)</f>
        <v>6250</v>
      </c>
      <c r="H214" s="69">
        <f t="shared" si="24"/>
        <v>4933.3999999999996</v>
      </c>
      <c r="I214" s="9">
        <v>0.12</v>
      </c>
      <c r="J214" s="41">
        <v>0</v>
      </c>
      <c r="K214" s="10" t="s">
        <v>18</v>
      </c>
      <c r="L214" s="19" t="s">
        <v>28</v>
      </c>
      <c r="M214" s="34">
        <v>891.34357886178839</v>
      </c>
      <c r="N214" s="34">
        <v>566.6</v>
      </c>
      <c r="O214" s="12">
        <f t="shared" si="25"/>
        <v>6574.7435788617877</v>
      </c>
      <c r="P214" s="68" t="s">
        <v>193</v>
      </c>
      <c r="R214" s="58">
        <f t="shared" si="27"/>
        <v>0</v>
      </c>
      <c r="S214" s="5"/>
      <c r="T214" s="6"/>
      <c r="U214" s="7"/>
      <c r="V214" s="8"/>
      <c r="W214" s="8"/>
      <c r="X214" s="47"/>
      <c r="Y214" s="13"/>
      <c r="Z214" s="57"/>
    </row>
    <row r="215" spans="2:26" x14ac:dyDescent="0.35">
      <c r="B215" s="5">
        <v>46262</v>
      </c>
      <c r="C215" s="6" t="s">
        <v>116</v>
      </c>
      <c r="D215" s="27" t="s">
        <v>6</v>
      </c>
      <c r="E215" s="67" t="s">
        <v>171</v>
      </c>
      <c r="F215" s="67" t="s">
        <v>95</v>
      </c>
      <c r="G215" s="93">
        <f>(6250)</f>
        <v>6250</v>
      </c>
      <c r="H215" s="69">
        <f t="shared" si="24"/>
        <v>4686.95</v>
      </c>
      <c r="I215" s="9">
        <v>0.12</v>
      </c>
      <c r="J215" s="41">
        <v>0</v>
      </c>
      <c r="K215" s="10" t="s">
        <v>18</v>
      </c>
      <c r="L215" s="19" t="s">
        <v>28</v>
      </c>
      <c r="M215" s="34">
        <v>1089.880593495935</v>
      </c>
      <c r="N215" s="34">
        <v>813.05</v>
      </c>
      <c r="O215" s="12">
        <f t="shared" si="25"/>
        <v>6526.8305934959344</v>
      </c>
      <c r="P215" s="68" t="s">
        <v>193</v>
      </c>
      <c r="R215" s="58">
        <f t="shared" si="27"/>
        <v>0</v>
      </c>
      <c r="S215" s="5"/>
      <c r="T215" s="6"/>
      <c r="U215" s="7"/>
      <c r="V215" s="8"/>
      <c r="W215" s="8"/>
      <c r="X215" s="47"/>
      <c r="Y215" s="13"/>
      <c r="Z215" s="57"/>
    </row>
    <row r="216" spans="2:26" x14ac:dyDescent="0.35">
      <c r="B216" s="5">
        <v>46262</v>
      </c>
      <c r="C216" s="6" t="s">
        <v>117</v>
      </c>
      <c r="D216" s="27" t="s">
        <v>6</v>
      </c>
      <c r="E216" s="67" t="s">
        <v>171</v>
      </c>
      <c r="F216" s="67" t="s">
        <v>95</v>
      </c>
      <c r="G216" s="93">
        <f>(6250)</f>
        <v>6250</v>
      </c>
      <c r="H216" s="69">
        <f t="shared" si="24"/>
        <v>4865.4799999999996</v>
      </c>
      <c r="I216" s="9">
        <v>0.12</v>
      </c>
      <c r="J216" s="41">
        <v>0</v>
      </c>
      <c r="K216" s="10" t="s">
        <v>18</v>
      </c>
      <c r="L216" s="19" t="s">
        <v>28</v>
      </c>
      <c r="M216" s="34">
        <v>942.9343300813008</v>
      </c>
      <c r="N216" s="34">
        <v>634.52</v>
      </c>
      <c r="O216" s="12">
        <f t="shared" si="25"/>
        <v>6558.4143300813012</v>
      </c>
      <c r="P216" s="68" t="s">
        <v>193</v>
      </c>
      <c r="R216" s="58">
        <f t="shared" si="27"/>
        <v>0</v>
      </c>
      <c r="S216" s="5"/>
      <c r="T216" s="6"/>
      <c r="U216" s="7"/>
      <c r="V216" s="8"/>
      <c r="W216" s="8"/>
      <c r="X216" s="47"/>
      <c r="Y216" s="13"/>
      <c r="Z216" s="57"/>
    </row>
    <row r="217" spans="2:26" x14ac:dyDescent="0.35">
      <c r="B217" s="5">
        <v>46262</v>
      </c>
      <c r="C217" s="8" t="s">
        <v>118</v>
      </c>
      <c r="D217" s="27" t="s">
        <v>6</v>
      </c>
      <c r="E217" s="67" t="s">
        <v>171</v>
      </c>
      <c r="F217" s="67" t="s">
        <v>95</v>
      </c>
      <c r="G217" s="93">
        <f>(6250)</f>
        <v>6250</v>
      </c>
      <c r="H217" s="69">
        <f t="shared" si="24"/>
        <v>4933.3999999999996</v>
      </c>
      <c r="I217" s="9">
        <v>0.12</v>
      </c>
      <c r="J217" s="41">
        <v>0</v>
      </c>
      <c r="K217" s="10" t="s">
        <v>18</v>
      </c>
      <c r="L217" s="19" t="s">
        <v>28</v>
      </c>
      <c r="M217" s="34">
        <v>1026.9603073170733</v>
      </c>
      <c r="N217" s="34">
        <v>566.6</v>
      </c>
      <c r="O217" s="12">
        <f t="shared" si="25"/>
        <v>6710.3603073170725</v>
      </c>
      <c r="P217" s="68" t="s">
        <v>193</v>
      </c>
      <c r="R217" s="58">
        <f t="shared" si="27"/>
        <v>0</v>
      </c>
      <c r="S217" s="5"/>
      <c r="T217" s="6"/>
      <c r="U217" s="7"/>
      <c r="V217" s="8"/>
      <c r="W217" s="8"/>
      <c r="X217" s="47"/>
      <c r="Y217" s="13"/>
      <c r="Z217" s="57"/>
    </row>
    <row r="218" spans="2:26" x14ac:dyDescent="0.35">
      <c r="B218" s="5">
        <v>46262</v>
      </c>
      <c r="C218" s="6" t="s">
        <v>119</v>
      </c>
      <c r="D218" s="27" t="s">
        <v>6</v>
      </c>
      <c r="E218" s="67" t="s">
        <v>171</v>
      </c>
      <c r="F218" s="67" t="s">
        <v>95</v>
      </c>
      <c r="G218" s="93">
        <f>(6250)</f>
        <v>6250</v>
      </c>
      <c r="H218" s="69">
        <f t="shared" si="24"/>
        <v>4773.1000000000004</v>
      </c>
      <c r="I218" s="9">
        <v>0.12</v>
      </c>
      <c r="J218" s="41">
        <v>0</v>
      </c>
      <c r="K218" s="10" t="s">
        <v>18</v>
      </c>
      <c r="L218" s="19" t="s">
        <v>28</v>
      </c>
      <c r="M218" s="34">
        <v>1004.1712263414634</v>
      </c>
      <c r="N218" s="34">
        <v>726.9</v>
      </c>
      <c r="O218" s="12">
        <f t="shared" si="25"/>
        <v>6527.2712263414633</v>
      </c>
      <c r="P218" s="68" t="s">
        <v>193</v>
      </c>
      <c r="R218" s="58">
        <f t="shared" si="27"/>
        <v>0</v>
      </c>
      <c r="S218" s="5"/>
      <c r="T218" s="6"/>
      <c r="U218" s="7"/>
      <c r="V218" s="8"/>
      <c r="W218" s="8"/>
      <c r="X218" s="47"/>
      <c r="Y218" s="13"/>
      <c r="Z218" s="57"/>
    </row>
    <row r="219" spans="2:26" x14ac:dyDescent="0.35">
      <c r="B219" s="5">
        <v>46262</v>
      </c>
      <c r="C219" s="6" t="s">
        <v>142</v>
      </c>
      <c r="D219" s="27" t="s">
        <v>7</v>
      </c>
      <c r="E219" s="67" t="s">
        <v>171</v>
      </c>
      <c r="F219" s="67" t="s">
        <v>95</v>
      </c>
      <c r="G219" s="93">
        <f>(6250)</f>
        <v>6250</v>
      </c>
      <c r="H219" s="69">
        <f t="shared" si="24"/>
        <v>4785.88</v>
      </c>
      <c r="I219" s="53">
        <v>0.12</v>
      </c>
      <c r="J219" s="54">
        <v>0</v>
      </c>
      <c r="K219" s="55" t="s">
        <v>18</v>
      </c>
      <c r="L219" s="55" t="s">
        <v>92</v>
      </c>
      <c r="M219" s="34">
        <v>911.61</v>
      </c>
      <c r="N219" s="37">
        <v>714.12</v>
      </c>
      <c r="O219" s="12">
        <f t="shared" si="25"/>
        <v>6447.49</v>
      </c>
      <c r="P219" s="68" t="s">
        <v>193</v>
      </c>
      <c r="R219" s="58">
        <f t="shared" si="27"/>
        <v>0</v>
      </c>
      <c r="S219" s="5"/>
      <c r="T219" s="6"/>
      <c r="U219" s="7"/>
      <c r="V219" s="8"/>
      <c r="W219" s="8"/>
      <c r="X219" s="47"/>
      <c r="Y219" s="13"/>
      <c r="Z219" s="57"/>
    </row>
    <row r="220" spans="2:26" x14ac:dyDescent="0.35">
      <c r="B220" s="5">
        <v>46262</v>
      </c>
      <c r="C220" s="49" t="s">
        <v>152</v>
      </c>
      <c r="D220" s="50" t="s">
        <v>0</v>
      </c>
      <c r="E220" s="67" t="s">
        <v>171</v>
      </c>
      <c r="F220" s="67" t="s">
        <v>95</v>
      </c>
      <c r="G220" s="93">
        <f>(6250)</f>
        <v>6250</v>
      </c>
      <c r="H220" s="69">
        <f t="shared" si="24"/>
        <v>5013.8846829268296</v>
      </c>
      <c r="I220" s="9">
        <v>0.12</v>
      </c>
      <c r="J220" s="41">
        <v>0</v>
      </c>
      <c r="K220" s="19" t="s">
        <v>18</v>
      </c>
      <c r="L220" s="19" t="s">
        <v>28</v>
      </c>
      <c r="M220" s="34">
        <v>1074.3294959349594</v>
      </c>
      <c r="N220" s="34">
        <v>486.11531707317073</v>
      </c>
      <c r="O220" s="12">
        <f t="shared" si="25"/>
        <v>6838.2141788617892</v>
      </c>
      <c r="P220" s="68" t="s">
        <v>193</v>
      </c>
      <c r="R220" s="58">
        <f t="shared" si="27"/>
        <v>0</v>
      </c>
      <c r="S220" s="5"/>
      <c r="T220" s="6"/>
      <c r="U220" s="7"/>
      <c r="V220" s="8"/>
      <c r="W220" s="8"/>
      <c r="X220" s="47"/>
      <c r="Y220" s="13"/>
      <c r="Z220" s="57"/>
    </row>
    <row r="221" spans="2:26" x14ac:dyDescent="0.35">
      <c r="B221" s="5">
        <v>46262</v>
      </c>
      <c r="C221" s="49" t="s">
        <v>145</v>
      </c>
      <c r="D221" s="50" t="s">
        <v>0</v>
      </c>
      <c r="E221" s="67" t="s">
        <v>171</v>
      </c>
      <c r="F221" s="67" t="s">
        <v>95</v>
      </c>
      <c r="G221" s="93">
        <f>(6250)</f>
        <v>6250</v>
      </c>
      <c r="H221" s="69">
        <f t="shared" si="24"/>
        <v>4820.8148865040648</v>
      </c>
      <c r="I221" s="9">
        <v>0.12</v>
      </c>
      <c r="J221" s="41">
        <v>0</v>
      </c>
      <c r="K221" s="19" t="s">
        <v>18</v>
      </c>
      <c r="L221" s="19" t="s">
        <v>28</v>
      </c>
      <c r="M221" s="34">
        <v>1012.6924357723577</v>
      </c>
      <c r="N221" s="34">
        <v>679.18511349593484</v>
      </c>
      <c r="O221" s="12">
        <f t="shared" si="25"/>
        <v>6583.5073222764222</v>
      </c>
      <c r="P221" s="68" t="s">
        <v>193</v>
      </c>
      <c r="R221" s="58">
        <f t="shared" si="27"/>
        <v>0</v>
      </c>
      <c r="S221" s="5"/>
      <c r="T221" s="6"/>
      <c r="U221" s="7"/>
      <c r="V221" s="8"/>
      <c r="W221" s="8"/>
      <c r="X221" s="47"/>
      <c r="Y221" s="13"/>
      <c r="Z221" s="57"/>
    </row>
    <row r="222" spans="2:26" x14ac:dyDescent="0.35">
      <c r="B222" s="5">
        <v>46262</v>
      </c>
      <c r="C222" s="49" t="s">
        <v>155</v>
      </c>
      <c r="D222" s="50" t="s">
        <v>0</v>
      </c>
      <c r="E222" s="67" t="s">
        <v>171</v>
      </c>
      <c r="F222" s="67" t="s">
        <v>95</v>
      </c>
      <c r="G222" s="93">
        <f>(6250)</f>
        <v>6250</v>
      </c>
      <c r="H222" s="69">
        <f t="shared" si="24"/>
        <v>4952.0669580487802</v>
      </c>
      <c r="I222" s="9">
        <v>0.12</v>
      </c>
      <c r="J222" s="41">
        <v>0</v>
      </c>
      <c r="K222" s="19" t="s">
        <v>18</v>
      </c>
      <c r="L222" s="19" t="s">
        <v>28</v>
      </c>
      <c r="M222" s="34">
        <v>1198.0008253658536</v>
      </c>
      <c r="N222" s="34">
        <v>547.93304195121948</v>
      </c>
      <c r="O222" s="12">
        <f t="shared" si="25"/>
        <v>6900.0677834146336</v>
      </c>
      <c r="P222" s="68" t="s">
        <v>193</v>
      </c>
      <c r="R222" s="58">
        <f t="shared" si="27"/>
        <v>0</v>
      </c>
      <c r="S222" s="5"/>
      <c r="T222" s="6"/>
      <c r="U222" s="7"/>
      <c r="V222" s="8"/>
      <c r="W222" s="8"/>
      <c r="X222" s="47"/>
      <c r="Y222" s="13"/>
      <c r="Z222" s="57"/>
    </row>
    <row r="223" spans="2:26" x14ac:dyDescent="0.35">
      <c r="B223" s="5">
        <v>46262</v>
      </c>
      <c r="C223" s="49" t="s">
        <v>143</v>
      </c>
      <c r="D223" s="50" t="s">
        <v>0</v>
      </c>
      <c r="E223" s="67" t="s">
        <v>171</v>
      </c>
      <c r="F223" s="67" t="s">
        <v>95</v>
      </c>
      <c r="G223" s="93">
        <f>(6250)</f>
        <v>6250</v>
      </c>
      <c r="H223" s="69">
        <f t="shared" si="24"/>
        <v>5072.6952689430891</v>
      </c>
      <c r="I223" s="9">
        <v>0.12</v>
      </c>
      <c r="J223" s="41">
        <v>0</v>
      </c>
      <c r="K223" s="19" t="s">
        <v>18</v>
      </c>
      <c r="L223" s="19" t="s">
        <v>28</v>
      </c>
      <c r="M223" s="34">
        <v>1012.6924357723577</v>
      </c>
      <c r="N223" s="34">
        <v>427.30473105691061</v>
      </c>
      <c r="O223" s="12">
        <f t="shared" si="25"/>
        <v>6835.3877047154465</v>
      </c>
      <c r="P223" s="68" t="s">
        <v>193</v>
      </c>
      <c r="R223" s="58">
        <f t="shared" si="27"/>
        <v>0</v>
      </c>
      <c r="S223" s="5"/>
      <c r="T223" s="6"/>
      <c r="U223" s="7"/>
      <c r="V223" s="8"/>
      <c r="W223" s="8"/>
      <c r="X223" s="47"/>
      <c r="Y223" s="13"/>
      <c r="Z223" s="57"/>
    </row>
    <row r="224" spans="2:26" x14ac:dyDescent="0.35">
      <c r="B224" s="5">
        <v>46262</v>
      </c>
      <c r="C224" s="49" t="s">
        <v>105</v>
      </c>
      <c r="D224" s="50" t="s">
        <v>1</v>
      </c>
      <c r="E224" s="67" t="s">
        <v>171</v>
      </c>
      <c r="F224" s="67" t="s">
        <v>95</v>
      </c>
      <c r="G224" s="93">
        <f>(6250*0.88)</f>
        <v>5500</v>
      </c>
      <c r="H224" s="69">
        <f t="shared" si="24"/>
        <v>5207.9158087804881</v>
      </c>
      <c r="I224" s="20">
        <v>0</v>
      </c>
      <c r="J224" s="41">
        <v>0</v>
      </c>
      <c r="K224" s="19" t="s">
        <v>18</v>
      </c>
      <c r="L224" s="19" t="s">
        <v>28</v>
      </c>
      <c r="M224" s="34">
        <v>608.76454471544707</v>
      </c>
      <c r="N224" s="34">
        <v>292.08419121951221</v>
      </c>
      <c r="O224" s="12">
        <f t="shared" si="25"/>
        <v>6609.8640380635625</v>
      </c>
      <c r="P224" s="68" t="s">
        <v>193</v>
      </c>
      <c r="R224" s="58">
        <f t="shared" si="27"/>
        <v>0</v>
      </c>
      <c r="S224" s="5"/>
      <c r="T224" s="6"/>
      <c r="U224" s="7"/>
      <c r="V224" s="8"/>
      <c r="W224" s="8"/>
      <c r="X224" s="47"/>
      <c r="Y224" s="13"/>
      <c r="Z224" s="57"/>
    </row>
    <row r="225" spans="2:26" x14ac:dyDescent="0.35">
      <c r="B225" s="5">
        <v>46262</v>
      </c>
      <c r="C225" s="49" t="s">
        <v>104</v>
      </c>
      <c r="D225" s="50" t="s">
        <v>1</v>
      </c>
      <c r="E225" s="67" t="s">
        <v>171</v>
      </c>
      <c r="F225" s="67" t="s">
        <v>95</v>
      </c>
      <c r="G225" s="93">
        <f t="shared" ref="G225:G236" si="28">(6250*0.88)</f>
        <v>5500</v>
      </c>
      <c r="H225" s="69">
        <f t="shared" si="24"/>
        <v>5315.2594484552847</v>
      </c>
      <c r="I225" s="20">
        <v>0</v>
      </c>
      <c r="J225" s="41">
        <v>0</v>
      </c>
      <c r="K225" s="19" t="s">
        <v>18</v>
      </c>
      <c r="L225" s="19" t="s">
        <v>28</v>
      </c>
      <c r="M225" s="34">
        <v>786.43704585365845</v>
      </c>
      <c r="N225" s="34">
        <v>184.74055154471546</v>
      </c>
      <c r="O225" s="12">
        <f t="shared" si="25"/>
        <v>6933.7460162601628</v>
      </c>
      <c r="P225" s="68" t="s">
        <v>193</v>
      </c>
      <c r="R225" s="58">
        <f t="shared" si="27"/>
        <v>0</v>
      </c>
      <c r="S225" s="5"/>
      <c r="T225" s="6"/>
      <c r="U225" s="7"/>
      <c r="V225" s="8"/>
      <c r="W225" s="8"/>
      <c r="X225" s="47"/>
      <c r="Y225" s="13"/>
      <c r="Z225" s="57"/>
    </row>
    <row r="226" spans="2:26" x14ac:dyDescent="0.35">
      <c r="B226" s="5">
        <v>46262</v>
      </c>
      <c r="C226" s="49" t="s">
        <v>109</v>
      </c>
      <c r="D226" s="50" t="s">
        <v>1</v>
      </c>
      <c r="E226" s="67" t="s">
        <v>171</v>
      </c>
      <c r="F226" s="67" t="s">
        <v>95</v>
      </c>
      <c r="G226" s="93">
        <f t="shared" si="28"/>
        <v>5500</v>
      </c>
      <c r="H226" s="69">
        <f t="shared" si="24"/>
        <v>5253.3920650406508</v>
      </c>
      <c r="I226" s="20">
        <v>0</v>
      </c>
      <c r="J226" s="41">
        <v>0</v>
      </c>
      <c r="K226" s="19" t="s">
        <v>18</v>
      </c>
      <c r="L226" s="19" t="s">
        <v>28</v>
      </c>
      <c r="M226" s="34">
        <v>836.82715447154465</v>
      </c>
      <c r="N226" s="34">
        <v>246.60793495934959</v>
      </c>
      <c r="O226" s="12">
        <f t="shared" si="25"/>
        <v>6920.7036585365859</v>
      </c>
      <c r="P226" s="68" t="s">
        <v>193</v>
      </c>
      <c r="R226" s="58">
        <f t="shared" si="27"/>
        <v>0</v>
      </c>
      <c r="S226" s="5"/>
      <c r="T226" s="6"/>
      <c r="U226" s="7"/>
      <c r="V226" s="8"/>
      <c r="W226" s="8"/>
      <c r="X226" s="47"/>
      <c r="Y226" s="13"/>
      <c r="Z226" s="57"/>
    </row>
    <row r="227" spans="2:26" x14ac:dyDescent="0.35">
      <c r="B227" s="5">
        <v>46262</v>
      </c>
      <c r="C227" s="49" t="s">
        <v>110</v>
      </c>
      <c r="D227" s="50" t="s">
        <v>1</v>
      </c>
      <c r="E227" s="67" t="s">
        <v>171</v>
      </c>
      <c r="F227" s="67" t="s">
        <v>95</v>
      </c>
      <c r="G227" s="93">
        <f t="shared" si="28"/>
        <v>5500</v>
      </c>
      <c r="H227" s="69">
        <f t="shared" si="24"/>
        <v>5028.2814731707322</v>
      </c>
      <c r="I227" s="20">
        <v>0</v>
      </c>
      <c r="J227" s="41">
        <v>0</v>
      </c>
      <c r="K227" s="19" t="s">
        <v>18</v>
      </c>
      <c r="L227" s="22" t="s">
        <v>28</v>
      </c>
      <c r="M227" s="31">
        <v>866.50006796747971</v>
      </c>
      <c r="N227" s="31">
        <v>471.71852682926823</v>
      </c>
      <c r="O227" s="12">
        <f t="shared" si="25"/>
        <v>6698.6153876570588</v>
      </c>
      <c r="P227" s="68" t="s">
        <v>193</v>
      </c>
      <c r="R227" s="58">
        <f t="shared" si="27"/>
        <v>0</v>
      </c>
      <c r="S227" s="5"/>
      <c r="T227" s="6"/>
      <c r="U227" s="7"/>
      <c r="V227" s="8"/>
      <c r="W227" s="8"/>
      <c r="X227" s="47"/>
      <c r="Y227" s="13"/>
      <c r="Z227" s="57"/>
    </row>
    <row r="228" spans="2:26" x14ac:dyDescent="0.35">
      <c r="B228" s="5">
        <v>46262</v>
      </c>
      <c r="C228" s="49" t="s">
        <v>107</v>
      </c>
      <c r="D228" s="50" t="s">
        <v>1</v>
      </c>
      <c r="E228" s="67" t="s">
        <v>171</v>
      </c>
      <c r="F228" s="67" t="s">
        <v>95</v>
      </c>
      <c r="G228" s="93">
        <f t="shared" si="28"/>
        <v>5500</v>
      </c>
      <c r="H228" s="69">
        <f t="shared" si="24"/>
        <v>5214.1768468292685</v>
      </c>
      <c r="I228" s="20">
        <v>0</v>
      </c>
      <c r="J228" s="41">
        <v>0</v>
      </c>
      <c r="K228" s="19" t="s">
        <v>18</v>
      </c>
      <c r="L228" s="22" t="s">
        <v>28</v>
      </c>
      <c r="M228" s="31">
        <v>876.56072845528456</v>
      </c>
      <c r="N228" s="31">
        <v>285.8231531707317</v>
      </c>
      <c r="O228" s="12">
        <f t="shared" si="25"/>
        <v>6921.2926991869917</v>
      </c>
      <c r="P228" s="68" t="s">
        <v>193</v>
      </c>
      <c r="R228" s="58">
        <f t="shared" si="27"/>
        <v>0</v>
      </c>
      <c r="S228" s="5"/>
      <c r="T228" s="6"/>
      <c r="U228" s="7"/>
      <c r="V228" s="8"/>
      <c r="W228" s="8"/>
      <c r="X228" s="47"/>
      <c r="Y228" s="13"/>
      <c r="Z228" s="57"/>
    </row>
    <row r="229" spans="2:26" x14ac:dyDescent="0.35">
      <c r="B229" s="5">
        <v>46262</v>
      </c>
      <c r="C229" s="49" t="s">
        <v>106</v>
      </c>
      <c r="D229" s="50" t="s">
        <v>1</v>
      </c>
      <c r="E229" s="67" t="s">
        <v>171</v>
      </c>
      <c r="F229" s="67" t="s">
        <v>95</v>
      </c>
      <c r="G229" s="93">
        <f t="shared" si="28"/>
        <v>5500</v>
      </c>
      <c r="H229" s="69">
        <f t="shared" si="24"/>
        <v>5149.3065652032519</v>
      </c>
      <c r="I229" s="20">
        <v>0</v>
      </c>
      <c r="J229" s="41">
        <v>0</v>
      </c>
      <c r="K229" s="19" t="s">
        <v>18</v>
      </c>
      <c r="L229" s="22" t="s">
        <v>28</v>
      </c>
      <c r="M229" s="31">
        <v>939.24825951219509</v>
      </c>
      <c r="N229" s="31">
        <v>350.69343479674791</v>
      </c>
      <c r="O229" s="12">
        <f t="shared" si="25"/>
        <v>6918.8123008130078</v>
      </c>
      <c r="P229" s="68" t="s">
        <v>193</v>
      </c>
      <c r="R229" s="58">
        <f t="shared" si="27"/>
        <v>0</v>
      </c>
      <c r="S229" s="5"/>
      <c r="T229" s="6"/>
      <c r="U229" s="7"/>
      <c r="V229" s="8"/>
      <c r="W229" s="8"/>
      <c r="X229" s="47"/>
      <c r="Y229" s="13"/>
      <c r="Z229" s="57"/>
    </row>
    <row r="230" spans="2:26" x14ac:dyDescent="0.35">
      <c r="B230" s="5">
        <v>46262</v>
      </c>
      <c r="C230" s="49" t="s">
        <v>111</v>
      </c>
      <c r="D230" s="50" t="s">
        <v>1</v>
      </c>
      <c r="E230" s="67" t="s">
        <v>171</v>
      </c>
      <c r="F230" s="67" t="s">
        <v>95</v>
      </c>
      <c r="G230" s="93">
        <f t="shared" si="28"/>
        <v>5500</v>
      </c>
      <c r="H230" s="69">
        <f t="shared" si="24"/>
        <v>5133.8787804878048</v>
      </c>
      <c r="I230" s="20">
        <v>0</v>
      </c>
      <c r="J230" s="41">
        <v>0</v>
      </c>
      <c r="K230" s="19" t="s">
        <v>18</v>
      </c>
      <c r="L230" s="22" t="s">
        <v>28</v>
      </c>
      <c r="M230" s="34">
        <v>965.39140357723568</v>
      </c>
      <c r="N230" s="34">
        <v>366.12121951219513</v>
      </c>
      <c r="O230" s="12">
        <f t="shared" si="25"/>
        <v>6930.9888455284554</v>
      </c>
      <c r="P230" s="68" t="s">
        <v>193</v>
      </c>
      <c r="R230" s="58">
        <f t="shared" si="27"/>
        <v>0</v>
      </c>
      <c r="S230" s="5"/>
      <c r="T230" s="6"/>
      <c r="U230" s="7"/>
      <c r="V230" s="8"/>
      <c r="W230" s="8"/>
      <c r="X230" s="47"/>
      <c r="Y230" s="13"/>
      <c r="Z230" s="57"/>
    </row>
    <row r="231" spans="2:26" x14ac:dyDescent="0.35">
      <c r="B231" s="5">
        <v>46262</v>
      </c>
      <c r="C231" s="49" t="s">
        <v>108</v>
      </c>
      <c r="D231" s="50" t="s">
        <v>1</v>
      </c>
      <c r="E231" s="67" t="s">
        <v>171</v>
      </c>
      <c r="F231" s="67" t="s">
        <v>95</v>
      </c>
      <c r="G231" s="93">
        <f t="shared" si="28"/>
        <v>5500</v>
      </c>
      <c r="H231" s="69">
        <f t="shared" si="24"/>
        <v>5095.1081034146337</v>
      </c>
      <c r="I231" s="20">
        <v>0</v>
      </c>
      <c r="J231" s="41">
        <v>0</v>
      </c>
      <c r="K231" s="19" t="s">
        <v>18</v>
      </c>
      <c r="L231" s="22" t="s">
        <v>28</v>
      </c>
      <c r="M231" s="34">
        <v>994.64974569105698</v>
      </c>
      <c r="N231" s="34">
        <v>404.89189658536594</v>
      </c>
      <c r="O231" s="12">
        <f t="shared" si="25"/>
        <v>6920.1793739837385</v>
      </c>
      <c r="P231" s="68" t="s">
        <v>193</v>
      </c>
      <c r="R231" s="58">
        <f t="shared" si="27"/>
        <v>0</v>
      </c>
      <c r="S231" s="5"/>
      <c r="T231" s="6"/>
      <c r="U231" s="7"/>
      <c r="V231" s="8"/>
      <c r="W231" s="8"/>
      <c r="X231" s="47"/>
      <c r="Y231" s="13"/>
      <c r="Z231" s="57"/>
    </row>
    <row r="232" spans="2:26" x14ac:dyDescent="0.35">
      <c r="B232" s="5">
        <v>46262</v>
      </c>
      <c r="C232" s="49" t="s">
        <v>103</v>
      </c>
      <c r="D232" s="50" t="s">
        <v>1</v>
      </c>
      <c r="E232" s="67" t="s">
        <v>171</v>
      </c>
      <c r="F232" s="67" t="s">
        <v>95</v>
      </c>
      <c r="G232" s="93">
        <f t="shared" si="28"/>
        <v>5500</v>
      </c>
      <c r="H232" s="69">
        <f t="shared" si="24"/>
        <v>5282.1723837398376</v>
      </c>
      <c r="I232" s="20">
        <v>0</v>
      </c>
      <c r="J232" s="41">
        <v>0</v>
      </c>
      <c r="K232" s="19" t="s">
        <v>18</v>
      </c>
      <c r="L232" s="22" t="s">
        <v>28</v>
      </c>
      <c r="M232" s="34">
        <v>583.38495121951212</v>
      </c>
      <c r="N232" s="34">
        <v>217.82761626016256</v>
      </c>
      <c r="O232" s="12">
        <f t="shared" si="25"/>
        <v>6665.406062453806</v>
      </c>
      <c r="P232" s="68" t="s">
        <v>193</v>
      </c>
      <c r="R232" s="58">
        <f t="shared" si="27"/>
        <v>0</v>
      </c>
      <c r="S232" s="5"/>
      <c r="T232" s="6"/>
      <c r="U232" s="7"/>
      <c r="V232" s="8"/>
      <c r="W232" s="8"/>
      <c r="X232" s="47"/>
      <c r="Y232" s="13"/>
      <c r="Z232" s="57"/>
    </row>
    <row r="233" spans="2:26" x14ac:dyDescent="0.35">
      <c r="B233" s="5">
        <v>46262</v>
      </c>
      <c r="C233" s="6" t="s">
        <v>129</v>
      </c>
      <c r="D233" s="27" t="s">
        <v>3</v>
      </c>
      <c r="E233" s="67" t="s">
        <v>170</v>
      </c>
      <c r="F233" s="67" t="s">
        <v>94</v>
      </c>
      <c r="G233" s="93">
        <f t="shared" si="28"/>
        <v>5500</v>
      </c>
      <c r="H233" s="69">
        <f t="shared" si="24"/>
        <v>5437.1936845528453</v>
      </c>
      <c r="I233" s="20">
        <v>0</v>
      </c>
      <c r="J233" s="54">
        <v>0</v>
      </c>
      <c r="K233" s="55" t="s">
        <v>18</v>
      </c>
      <c r="L233" s="22" t="s">
        <v>28</v>
      </c>
      <c r="M233" s="31">
        <v>243.357521300813</v>
      </c>
      <c r="N233" s="36">
        <v>62.806315447154475</v>
      </c>
      <c r="O233" s="12">
        <f t="shared" si="25"/>
        <v>6455.1718248337029</v>
      </c>
      <c r="P233" s="68" t="s">
        <v>193</v>
      </c>
      <c r="R233" s="58">
        <f t="shared" si="27"/>
        <v>0</v>
      </c>
      <c r="S233" s="5"/>
      <c r="T233" s="6"/>
      <c r="U233" s="7"/>
      <c r="V233" s="8"/>
      <c r="W233" s="8"/>
      <c r="X233" s="47"/>
      <c r="Y233" s="13"/>
      <c r="Z233" s="57"/>
    </row>
    <row r="234" spans="2:26" x14ac:dyDescent="0.35">
      <c r="B234" s="5">
        <v>46262</v>
      </c>
      <c r="C234" s="6" t="s">
        <v>130</v>
      </c>
      <c r="D234" s="27" t="s">
        <v>3</v>
      </c>
      <c r="E234" s="67" t="s">
        <v>170</v>
      </c>
      <c r="F234" s="67" t="s">
        <v>94</v>
      </c>
      <c r="G234" s="93">
        <f t="shared" si="28"/>
        <v>5500</v>
      </c>
      <c r="H234" s="69">
        <f t="shared" si="24"/>
        <v>5437.1936845528453</v>
      </c>
      <c r="I234" s="20">
        <v>0</v>
      </c>
      <c r="J234" s="54">
        <v>0</v>
      </c>
      <c r="K234" s="55" t="s">
        <v>18</v>
      </c>
      <c r="L234" s="22" t="s">
        <v>28</v>
      </c>
      <c r="M234" s="31">
        <v>243.357521300813</v>
      </c>
      <c r="N234" s="36">
        <v>62.806315447154475</v>
      </c>
      <c r="O234" s="12">
        <f t="shared" si="25"/>
        <v>6455.1718248337029</v>
      </c>
      <c r="P234" s="68" t="s">
        <v>193</v>
      </c>
      <c r="R234" s="58">
        <f t="shared" si="27"/>
        <v>0</v>
      </c>
      <c r="S234" s="5"/>
      <c r="T234" s="6"/>
      <c r="U234" s="7"/>
      <c r="V234" s="8"/>
      <c r="W234" s="8"/>
      <c r="X234" s="47"/>
      <c r="Y234" s="13"/>
      <c r="Z234" s="57"/>
    </row>
    <row r="235" spans="2:26" x14ac:dyDescent="0.35">
      <c r="B235" s="5">
        <v>46262</v>
      </c>
      <c r="C235" s="6" t="s">
        <v>153</v>
      </c>
      <c r="D235" s="27" t="s">
        <v>3</v>
      </c>
      <c r="E235" s="67" t="s">
        <v>170</v>
      </c>
      <c r="F235" s="67" t="s">
        <v>94</v>
      </c>
      <c r="G235" s="93">
        <f t="shared" si="28"/>
        <v>5500</v>
      </c>
      <c r="H235" s="69">
        <f t="shared" si="24"/>
        <v>5361.2678373983736</v>
      </c>
      <c r="I235" s="20">
        <v>0</v>
      </c>
      <c r="J235" s="54">
        <v>0</v>
      </c>
      <c r="K235" s="55" t="s">
        <v>18</v>
      </c>
      <c r="L235" s="22" t="s">
        <v>28</v>
      </c>
      <c r="M235" s="34">
        <v>324.29597008130082</v>
      </c>
      <c r="N235" s="37">
        <v>138.73216260162602</v>
      </c>
      <c r="O235" s="12">
        <f t="shared" si="25"/>
        <v>6460.8679630450843</v>
      </c>
      <c r="P235" s="68" t="s">
        <v>193</v>
      </c>
      <c r="R235" s="58">
        <f t="shared" si="27"/>
        <v>0</v>
      </c>
      <c r="S235" s="5"/>
      <c r="T235" s="6"/>
      <c r="U235" s="7"/>
      <c r="V235" s="8"/>
      <c r="W235" s="8"/>
      <c r="X235" s="47"/>
      <c r="Y235" s="13"/>
      <c r="Z235" s="57"/>
    </row>
    <row r="236" spans="2:26" x14ac:dyDescent="0.35">
      <c r="B236" s="5">
        <v>46262</v>
      </c>
      <c r="C236" s="6" t="s">
        <v>154</v>
      </c>
      <c r="D236" s="27" t="s">
        <v>3</v>
      </c>
      <c r="E236" s="67" t="s">
        <v>170</v>
      </c>
      <c r="F236" s="67" t="s">
        <v>94</v>
      </c>
      <c r="G236" s="93">
        <f t="shared" si="28"/>
        <v>5500</v>
      </c>
      <c r="H236" s="69">
        <f t="shared" si="24"/>
        <v>5361.2678373983736</v>
      </c>
      <c r="I236" s="20">
        <v>0</v>
      </c>
      <c r="J236" s="54">
        <v>0</v>
      </c>
      <c r="K236" s="55" t="s">
        <v>18</v>
      </c>
      <c r="L236" s="22" t="s">
        <v>28</v>
      </c>
      <c r="M236" s="34">
        <v>324.29597008130082</v>
      </c>
      <c r="N236" s="37">
        <v>138.73216260162602</v>
      </c>
      <c r="O236" s="12">
        <f t="shared" si="25"/>
        <v>6460.8679630450843</v>
      </c>
      <c r="P236" s="68" t="s">
        <v>193</v>
      </c>
      <c r="R236" s="58">
        <f t="shared" si="27"/>
        <v>0</v>
      </c>
      <c r="S236" s="5"/>
      <c r="T236" s="6"/>
      <c r="U236" s="7"/>
      <c r="V236" s="8"/>
      <c r="W236" s="8"/>
      <c r="X236" s="47"/>
      <c r="Y236" s="13"/>
      <c r="Z236" s="57"/>
    </row>
    <row r="237" spans="2:26" x14ac:dyDescent="0.35">
      <c r="B237" s="5">
        <v>46262</v>
      </c>
      <c r="C237" s="6" t="s">
        <v>102</v>
      </c>
      <c r="D237" s="27" t="s">
        <v>2</v>
      </c>
      <c r="E237" s="67" t="s">
        <v>170</v>
      </c>
      <c r="F237" s="67" t="s">
        <v>94</v>
      </c>
      <c r="G237" s="93">
        <f>(6250)</f>
        <v>6250</v>
      </c>
      <c r="H237" s="69">
        <f t="shared" si="24"/>
        <v>5181.6344344715444</v>
      </c>
      <c r="I237" s="53">
        <v>0.12</v>
      </c>
      <c r="J237" s="54">
        <v>0</v>
      </c>
      <c r="K237" s="55" t="s">
        <v>18</v>
      </c>
      <c r="L237" s="22" t="s">
        <v>28</v>
      </c>
      <c r="M237" s="34">
        <v>484.76667186991864</v>
      </c>
      <c r="N237" s="37">
        <v>318.36556552845536</v>
      </c>
      <c r="O237" s="12">
        <f t="shared" si="25"/>
        <v>6416.4011063414628</v>
      </c>
      <c r="P237" s="68" t="s">
        <v>193</v>
      </c>
      <c r="R237" s="58">
        <f t="shared" si="27"/>
        <v>0</v>
      </c>
      <c r="S237" s="5"/>
      <c r="T237" s="6"/>
      <c r="U237" s="7"/>
      <c r="V237" s="8"/>
      <c r="W237" s="8"/>
      <c r="X237" s="47"/>
      <c r="Y237" s="13"/>
      <c r="Z237" s="57"/>
    </row>
    <row r="238" spans="2:26" x14ac:dyDescent="0.35">
      <c r="B238" s="5">
        <v>46262</v>
      </c>
      <c r="C238" s="6" t="s">
        <v>163</v>
      </c>
      <c r="D238" s="27" t="s">
        <v>2</v>
      </c>
      <c r="E238" s="67" t="s">
        <v>170</v>
      </c>
      <c r="F238" s="67" t="s">
        <v>94</v>
      </c>
      <c r="G238" s="93">
        <f>(6250)</f>
        <v>6250</v>
      </c>
      <c r="H238" s="69">
        <f t="shared" si="24"/>
        <v>5218.8576975609758</v>
      </c>
      <c r="I238" s="53">
        <v>0.12</v>
      </c>
      <c r="J238" s="54">
        <v>0</v>
      </c>
      <c r="K238" s="55" t="s">
        <v>18</v>
      </c>
      <c r="L238" s="22" t="s">
        <v>28</v>
      </c>
      <c r="M238" s="34">
        <v>445.71607804878045</v>
      </c>
      <c r="N238" s="37">
        <v>281.14230243902438</v>
      </c>
      <c r="O238" s="12">
        <f t="shared" si="25"/>
        <v>6414.573775609756</v>
      </c>
      <c r="P238" s="68" t="s">
        <v>193</v>
      </c>
      <c r="R238" s="58">
        <f t="shared" si="27"/>
        <v>0</v>
      </c>
      <c r="S238" s="5"/>
      <c r="T238" s="6"/>
      <c r="U238" s="7"/>
      <c r="V238" s="8"/>
      <c r="W238" s="8"/>
      <c r="X238" s="47"/>
      <c r="Y238" s="13"/>
      <c r="Z238" s="57"/>
    </row>
    <row r="239" spans="2:26" x14ac:dyDescent="0.35">
      <c r="B239" s="5">
        <v>46262</v>
      </c>
      <c r="C239" s="6" t="s">
        <v>164</v>
      </c>
      <c r="D239" s="27" t="s">
        <v>2</v>
      </c>
      <c r="E239" s="67" t="s">
        <v>170</v>
      </c>
      <c r="F239" s="67" t="s">
        <v>94</v>
      </c>
      <c r="G239" s="93">
        <f>(6250)</f>
        <v>6250</v>
      </c>
      <c r="H239" s="69">
        <f t="shared" si="24"/>
        <v>5218.8576975609758</v>
      </c>
      <c r="I239" s="53">
        <v>0.12</v>
      </c>
      <c r="J239" s="54">
        <v>0</v>
      </c>
      <c r="K239" s="55" t="s">
        <v>18</v>
      </c>
      <c r="L239" s="22" t="s">
        <v>28</v>
      </c>
      <c r="M239" s="34">
        <v>445.71607804878045</v>
      </c>
      <c r="N239" s="37">
        <v>281.14230243902438</v>
      </c>
      <c r="O239" s="12">
        <f t="shared" si="25"/>
        <v>6414.573775609756</v>
      </c>
      <c r="P239" s="68" t="s">
        <v>193</v>
      </c>
      <c r="R239" s="58">
        <f t="shared" si="27"/>
        <v>0</v>
      </c>
      <c r="S239" s="5"/>
      <c r="T239" s="6"/>
      <c r="U239" s="7"/>
      <c r="V239" s="8"/>
      <c r="W239" s="8"/>
      <c r="X239" s="47"/>
      <c r="Y239" s="13"/>
      <c r="Z239" s="57"/>
    </row>
    <row r="240" spans="2:26" x14ac:dyDescent="0.35">
      <c r="B240" s="5">
        <v>46262</v>
      </c>
      <c r="C240" s="6" t="s">
        <v>100</v>
      </c>
      <c r="D240" s="27" t="s">
        <v>2</v>
      </c>
      <c r="E240" s="67" t="s">
        <v>170</v>
      </c>
      <c r="F240" s="67" t="s">
        <v>94</v>
      </c>
      <c r="G240" s="93">
        <f>(6250)</f>
        <v>6250</v>
      </c>
      <c r="H240" s="69">
        <f t="shared" si="24"/>
        <v>5206.8272669918697</v>
      </c>
      <c r="I240" s="53">
        <v>0.12</v>
      </c>
      <c r="J240" s="54">
        <v>0</v>
      </c>
      <c r="K240" s="55" t="s">
        <v>18</v>
      </c>
      <c r="L240" s="22" t="s">
        <v>28</v>
      </c>
      <c r="M240" s="34">
        <v>438.92450211382118</v>
      </c>
      <c r="N240" s="37">
        <v>293.17273300813008</v>
      </c>
      <c r="O240" s="12">
        <f t="shared" si="25"/>
        <v>6395.751769105691</v>
      </c>
      <c r="P240" s="68" t="s">
        <v>193</v>
      </c>
      <c r="R240" s="58">
        <f t="shared" si="27"/>
        <v>0</v>
      </c>
      <c r="S240" s="5"/>
      <c r="T240" s="6"/>
      <c r="U240" s="7"/>
      <c r="V240" s="8"/>
      <c r="W240" s="8"/>
      <c r="X240" s="47"/>
      <c r="Y240" s="13"/>
      <c r="Z240" s="57"/>
    </row>
    <row r="241" spans="2:26" x14ac:dyDescent="0.35">
      <c r="B241" s="5">
        <v>46262</v>
      </c>
      <c r="C241" s="6" t="s">
        <v>122</v>
      </c>
      <c r="D241" s="27" t="s">
        <v>3</v>
      </c>
      <c r="E241" s="67" t="s">
        <v>170</v>
      </c>
      <c r="F241" s="67" t="s">
        <v>94</v>
      </c>
      <c r="G241" s="93">
        <f t="shared" ref="G241" si="29">(6250*0.88)</f>
        <v>5500</v>
      </c>
      <c r="H241" s="69">
        <f t="shared" si="24"/>
        <v>5355.0733658536583</v>
      </c>
      <c r="I241" s="20">
        <v>0</v>
      </c>
      <c r="J241" s="54">
        <v>0</v>
      </c>
      <c r="K241" s="55" t="s">
        <v>18</v>
      </c>
      <c r="L241" s="22" t="s">
        <v>28</v>
      </c>
      <c r="M241" s="34">
        <v>240.83857951219514</v>
      </c>
      <c r="N241" s="37">
        <v>144.92663414634146</v>
      </c>
      <c r="O241" s="12">
        <f t="shared" si="25"/>
        <v>6358.9908470066512</v>
      </c>
      <c r="P241" s="68" t="s">
        <v>193</v>
      </c>
      <c r="R241" s="58">
        <f t="shared" si="27"/>
        <v>0</v>
      </c>
      <c r="S241" s="5"/>
      <c r="T241" s="6"/>
      <c r="U241" s="7"/>
      <c r="V241" s="8"/>
      <c r="W241" s="8"/>
      <c r="X241" s="47"/>
      <c r="Y241" s="13"/>
      <c r="Z241" s="57"/>
    </row>
    <row r="242" spans="2:26" x14ac:dyDescent="0.35">
      <c r="B242" s="5">
        <v>46262</v>
      </c>
      <c r="C242" s="6" t="s">
        <v>112</v>
      </c>
      <c r="D242" s="7" t="s">
        <v>3</v>
      </c>
      <c r="E242" s="15" t="s">
        <v>96</v>
      </c>
      <c r="F242" s="8" t="s">
        <v>62</v>
      </c>
      <c r="G242" s="93">
        <v>5700</v>
      </c>
      <c r="H242" s="69">
        <f t="shared" si="24"/>
        <v>5647.2750000000005</v>
      </c>
      <c r="I242" s="21">
        <v>0</v>
      </c>
      <c r="J242" s="70">
        <f t="shared" ref="J242:J273" si="30">9.25%*10%</f>
        <v>9.2499999999999995E-3</v>
      </c>
      <c r="K242" s="71" t="s">
        <v>31</v>
      </c>
      <c r="L242" s="82" t="s">
        <v>32</v>
      </c>
      <c r="M242" s="83">
        <v>243.357521300813</v>
      </c>
      <c r="N242" s="83"/>
      <c r="O242" s="72">
        <f t="shared" si="25"/>
        <v>6816.8714258032405</v>
      </c>
      <c r="P242" s="76"/>
      <c r="Q242" s="73"/>
      <c r="R242" s="58">
        <f t="shared" si="27"/>
        <v>0</v>
      </c>
      <c r="S242" s="5"/>
      <c r="T242" s="6"/>
      <c r="U242" s="7"/>
      <c r="V242" s="8"/>
      <c r="W242" s="8"/>
      <c r="X242" s="47"/>
      <c r="Y242" s="13"/>
      <c r="Z242" s="57"/>
    </row>
    <row r="243" spans="2:26" x14ac:dyDescent="0.35">
      <c r="B243" s="5">
        <v>46262</v>
      </c>
      <c r="C243" s="6" t="s">
        <v>136</v>
      </c>
      <c r="D243" s="7" t="s">
        <v>3</v>
      </c>
      <c r="E243" s="15" t="s">
        <v>96</v>
      </c>
      <c r="F243" s="8" t="s">
        <v>62</v>
      </c>
      <c r="G243" s="93">
        <v>5700</v>
      </c>
      <c r="H243" s="69">
        <f t="shared" si="24"/>
        <v>5647.2750000000005</v>
      </c>
      <c r="I243" s="21">
        <v>0</v>
      </c>
      <c r="J243" s="70">
        <f t="shared" si="30"/>
        <v>9.2499999999999995E-3</v>
      </c>
      <c r="K243" s="71" t="s">
        <v>31</v>
      </c>
      <c r="L243" s="82" t="s">
        <v>32</v>
      </c>
      <c r="M243" s="85">
        <v>240.83857951219514</v>
      </c>
      <c r="N243" s="83"/>
      <c r="O243" s="72">
        <f t="shared" si="25"/>
        <v>6813.9822672357895</v>
      </c>
      <c r="P243" s="76"/>
      <c r="Q243" s="73"/>
      <c r="R243" s="58">
        <f t="shared" ref="R243:R274" si="31">IFERROR(H243/Y243-1,0)</f>
        <v>0</v>
      </c>
      <c r="S243" s="5"/>
      <c r="T243" s="6"/>
      <c r="U243" s="7"/>
      <c r="V243" s="8"/>
      <c r="W243" s="8"/>
      <c r="X243" s="47"/>
      <c r="Y243" s="13"/>
      <c r="Z243" s="57"/>
    </row>
    <row r="244" spans="2:26" x14ac:dyDescent="0.35">
      <c r="B244" s="5">
        <v>46262</v>
      </c>
      <c r="C244" s="6" t="s">
        <v>135</v>
      </c>
      <c r="D244" s="7" t="s">
        <v>3</v>
      </c>
      <c r="E244" s="15" t="s">
        <v>96</v>
      </c>
      <c r="F244" s="8" t="s">
        <v>62</v>
      </c>
      <c r="G244" s="93">
        <v>5700</v>
      </c>
      <c r="H244" s="69">
        <f t="shared" si="24"/>
        <v>5647.2750000000005</v>
      </c>
      <c r="I244" s="21">
        <v>0</v>
      </c>
      <c r="J244" s="70">
        <f t="shared" si="30"/>
        <v>9.2499999999999995E-3</v>
      </c>
      <c r="K244" s="71" t="s">
        <v>31</v>
      </c>
      <c r="L244" s="82" t="s">
        <v>32</v>
      </c>
      <c r="M244" s="83">
        <v>324.29597008130082</v>
      </c>
      <c r="N244" s="83"/>
      <c r="O244" s="72">
        <f t="shared" si="25"/>
        <v>6909.7056523768733</v>
      </c>
      <c r="P244" s="76"/>
      <c r="Q244" s="73"/>
      <c r="R244" s="58">
        <f t="shared" si="31"/>
        <v>0</v>
      </c>
      <c r="S244" s="5"/>
      <c r="T244" s="6"/>
      <c r="U244" s="7"/>
      <c r="V244" s="8"/>
      <c r="W244" s="8"/>
      <c r="X244" s="47"/>
      <c r="Y244" s="13"/>
      <c r="Z244" s="57"/>
    </row>
    <row r="245" spans="2:26" x14ac:dyDescent="0.35">
      <c r="B245" s="5">
        <v>46262</v>
      </c>
      <c r="C245" s="6" t="s">
        <v>174</v>
      </c>
      <c r="D245" s="7" t="s">
        <v>3</v>
      </c>
      <c r="E245" s="15" t="s">
        <v>96</v>
      </c>
      <c r="F245" s="8" t="s">
        <v>62</v>
      </c>
      <c r="G245" s="93">
        <v>5600</v>
      </c>
      <c r="H245" s="69">
        <f t="shared" si="24"/>
        <v>5548.2</v>
      </c>
      <c r="I245" s="21">
        <v>0</v>
      </c>
      <c r="J245" s="70">
        <f t="shared" si="30"/>
        <v>9.2499999999999995E-3</v>
      </c>
      <c r="K245" s="71" t="s">
        <v>31</v>
      </c>
      <c r="L245" s="82" t="s">
        <v>32</v>
      </c>
      <c r="M245" s="83">
        <v>243.357521300813</v>
      </c>
      <c r="N245" s="83"/>
      <c r="O245" s="72">
        <f t="shared" si="25"/>
        <v>6702.1741120143297</v>
      </c>
      <c r="P245" s="76"/>
      <c r="Q245" s="73"/>
      <c r="R245" s="58">
        <f t="shared" si="31"/>
        <v>0</v>
      </c>
      <c r="S245" s="5"/>
      <c r="T245" s="6"/>
      <c r="U245" s="7"/>
      <c r="V245" s="8"/>
      <c r="W245" s="8"/>
      <c r="X245" s="47"/>
      <c r="Y245" s="13"/>
      <c r="Z245" s="57"/>
    </row>
    <row r="246" spans="2:26" x14ac:dyDescent="0.35">
      <c r="B246" s="5">
        <v>46262</v>
      </c>
      <c r="C246" s="6" t="s">
        <v>113</v>
      </c>
      <c r="D246" s="7" t="s">
        <v>3</v>
      </c>
      <c r="E246" s="15" t="s">
        <v>96</v>
      </c>
      <c r="F246" s="8" t="s">
        <v>62</v>
      </c>
      <c r="G246" s="93">
        <v>5600</v>
      </c>
      <c r="H246" s="69">
        <f t="shared" si="24"/>
        <v>5548.2</v>
      </c>
      <c r="I246" s="21">
        <v>0</v>
      </c>
      <c r="J246" s="70">
        <f t="shared" si="30"/>
        <v>9.2499999999999995E-3</v>
      </c>
      <c r="K246" s="71" t="s">
        <v>31</v>
      </c>
      <c r="L246" s="82" t="s">
        <v>32</v>
      </c>
      <c r="M246" s="85">
        <v>240.83857951219514</v>
      </c>
      <c r="N246" s="83"/>
      <c r="O246" s="72">
        <f t="shared" si="25"/>
        <v>6699.2849534468778</v>
      </c>
      <c r="P246" s="76"/>
      <c r="Q246" s="73"/>
      <c r="R246" s="58">
        <f t="shared" si="31"/>
        <v>0</v>
      </c>
      <c r="S246" s="5"/>
      <c r="T246" s="6"/>
      <c r="U246" s="7"/>
      <c r="V246" s="8"/>
      <c r="W246" s="8"/>
      <c r="X246" s="47"/>
      <c r="Y246" s="13"/>
      <c r="Z246" s="57"/>
    </row>
    <row r="247" spans="2:26" x14ac:dyDescent="0.35">
      <c r="B247" s="5">
        <v>46262</v>
      </c>
      <c r="C247" s="6" t="s">
        <v>175</v>
      </c>
      <c r="D247" s="7" t="s">
        <v>3</v>
      </c>
      <c r="E247" s="15" t="s">
        <v>96</v>
      </c>
      <c r="F247" s="8" t="s">
        <v>62</v>
      </c>
      <c r="G247" s="93">
        <v>5600</v>
      </c>
      <c r="H247" s="69">
        <f t="shared" si="24"/>
        <v>5548.2</v>
      </c>
      <c r="I247" s="21">
        <v>0</v>
      </c>
      <c r="J247" s="70">
        <f t="shared" si="30"/>
        <v>9.2499999999999995E-3</v>
      </c>
      <c r="K247" s="71" t="s">
        <v>31</v>
      </c>
      <c r="L247" s="82" t="s">
        <v>32</v>
      </c>
      <c r="M247" s="83">
        <v>324.29597008130082</v>
      </c>
      <c r="N247" s="83"/>
      <c r="O247" s="72">
        <f t="shared" si="25"/>
        <v>6795.0083385879616</v>
      </c>
      <c r="P247" s="76"/>
      <c r="Q247" s="73"/>
      <c r="R247" s="58">
        <f t="shared" si="31"/>
        <v>0</v>
      </c>
      <c r="S247" s="5"/>
      <c r="T247" s="6"/>
      <c r="U247" s="7"/>
      <c r="V247" s="8"/>
      <c r="W247" s="8"/>
      <c r="X247" s="47"/>
      <c r="Y247" s="13"/>
      <c r="Z247" s="57"/>
    </row>
    <row r="248" spans="2:26" x14ac:dyDescent="0.35">
      <c r="B248" s="5">
        <v>46262</v>
      </c>
      <c r="C248" s="6" t="s">
        <v>121</v>
      </c>
      <c r="D248" s="7" t="s">
        <v>3</v>
      </c>
      <c r="E248" s="8" t="s">
        <v>87</v>
      </c>
      <c r="F248" s="8" t="s">
        <v>22</v>
      </c>
      <c r="G248" s="24"/>
      <c r="H248" s="13">
        <f t="shared" si="24"/>
        <v>-246.46</v>
      </c>
      <c r="I248" s="20">
        <v>0</v>
      </c>
      <c r="J248" s="16">
        <f t="shared" si="30"/>
        <v>9.2499999999999995E-3</v>
      </c>
      <c r="K248" s="19" t="s">
        <v>18</v>
      </c>
      <c r="L248" s="11" t="s">
        <v>54</v>
      </c>
      <c r="M248" s="34">
        <v>243.357521300813</v>
      </c>
      <c r="N248" s="34">
        <v>246.46</v>
      </c>
      <c r="O248" s="12">
        <f t="shared" si="25"/>
        <v>-3.558459728840643</v>
      </c>
      <c r="P248" s="66" t="s">
        <v>172</v>
      </c>
      <c r="R248" s="58">
        <f t="shared" si="31"/>
        <v>0</v>
      </c>
      <c r="S248" s="5"/>
      <c r="T248" s="6"/>
      <c r="U248" s="7"/>
      <c r="V248" s="8"/>
      <c r="W248" s="8"/>
      <c r="X248" s="47"/>
      <c r="Y248" s="13"/>
      <c r="Z248" s="57"/>
    </row>
    <row r="249" spans="2:26" x14ac:dyDescent="0.35">
      <c r="B249" s="5">
        <v>46262</v>
      </c>
      <c r="C249" s="6" t="s">
        <v>122</v>
      </c>
      <c r="D249" s="7" t="s">
        <v>3</v>
      </c>
      <c r="E249" s="8" t="s">
        <v>87</v>
      </c>
      <c r="F249" s="8" t="s">
        <v>22</v>
      </c>
      <c r="G249" s="24"/>
      <c r="H249" s="13">
        <f t="shared" si="24"/>
        <v>-255.7</v>
      </c>
      <c r="I249" s="20">
        <v>0</v>
      </c>
      <c r="J249" s="16">
        <f t="shared" si="30"/>
        <v>9.2499999999999995E-3</v>
      </c>
      <c r="K249" s="19" t="s">
        <v>18</v>
      </c>
      <c r="L249" s="11" t="s">
        <v>54</v>
      </c>
      <c r="M249" s="38">
        <v>240.83857951219514</v>
      </c>
      <c r="N249" s="34">
        <v>255.7</v>
      </c>
      <c r="O249" s="12">
        <f t="shared" si="25"/>
        <v>-17.045650090387046</v>
      </c>
      <c r="P249" s="66" t="s">
        <v>172</v>
      </c>
      <c r="R249" s="58">
        <f t="shared" si="31"/>
        <v>0</v>
      </c>
      <c r="S249" s="5"/>
      <c r="T249" s="6"/>
      <c r="U249" s="7"/>
      <c r="V249" s="8"/>
      <c r="W249" s="8"/>
      <c r="X249" s="47"/>
      <c r="Y249" s="13"/>
      <c r="Z249" s="57"/>
    </row>
    <row r="250" spans="2:26" x14ac:dyDescent="0.35">
      <c r="B250" s="5">
        <v>46262</v>
      </c>
      <c r="C250" s="6" t="s">
        <v>123</v>
      </c>
      <c r="D250" s="7" t="s">
        <v>3</v>
      </c>
      <c r="E250" s="8" t="s">
        <v>87</v>
      </c>
      <c r="F250" s="8" t="s">
        <v>22</v>
      </c>
      <c r="G250" s="24"/>
      <c r="H250" s="13">
        <f t="shared" si="24"/>
        <v>-324.76</v>
      </c>
      <c r="I250" s="20">
        <v>0</v>
      </c>
      <c r="J250" s="16">
        <f t="shared" si="30"/>
        <v>9.2499999999999995E-3</v>
      </c>
      <c r="K250" s="19" t="s">
        <v>18</v>
      </c>
      <c r="L250" s="11" t="s">
        <v>54</v>
      </c>
      <c r="M250" s="34">
        <v>324.29597008130082</v>
      </c>
      <c r="N250" s="34">
        <v>324.76</v>
      </c>
      <c r="O250" s="12">
        <f t="shared" si="25"/>
        <v>-0.53222985192481398</v>
      </c>
      <c r="P250" s="66" t="s">
        <v>172</v>
      </c>
      <c r="R250" s="58">
        <f t="shared" si="31"/>
        <v>0</v>
      </c>
      <c r="S250" s="5"/>
      <c r="T250" s="6"/>
      <c r="U250" s="7"/>
      <c r="V250" s="8"/>
      <c r="W250" s="8"/>
      <c r="X250" s="47"/>
      <c r="Y250" s="13"/>
      <c r="Z250" s="57"/>
    </row>
    <row r="251" spans="2:26" x14ac:dyDescent="0.35">
      <c r="B251" s="5">
        <v>46262</v>
      </c>
      <c r="C251" s="6" t="s">
        <v>97</v>
      </c>
      <c r="D251" s="7" t="s">
        <v>4</v>
      </c>
      <c r="E251" s="8" t="s">
        <v>88</v>
      </c>
      <c r="F251" s="8" t="s">
        <v>89</v>
      </c>
      <c r="G251" s="24"/>
      <c r="H251" s="13">
        <f t="shared" si="24"/>
        <v>0</v>
      </c>
      <c r="I251" s="20">
        <v>0</v>
      </c>
      <c r="J251" s="16">
        <f t="shared" si="30"/>
        <v>9.2499999999999995E-3</v>
      </c>
      <c r="K251" s="10" t="s">
        <v>31</v>
      </c>
      <c r="L251" s="11" t="s">
        <v>54</v>
      </c>
      <c r="M251" s="34">
        <v>493.74063902439019</v>
      </c>
      <c r="N251" s="37"/>
      <c r="O251" s="12">
        <f t="shared" si="25"/>
        <v>566.30725004517956</v>
      </c>
      <c r="P251" s="66" t="s">
        <v>172</v>
      </c>
      <c r="R251" s="58">
        <f t="shared" si="31"/>
        <v>0</v>
      </c>
      <c r="S251" s="5"/>
      <c r="T251" s="6"/>
      <c r="U251" s="7"/>
      <c r="V251" s="8"/>
      <c r="W251" s="8"/>
      <c r="X251" s="47"/>
      <c r="Y251" s="13"/>
      <c r="Z251" s="57"/>
    </row>
    <row r="252" spans="2:26" x14ac:dyDescent="0.35">
      <c r="B252" s="5">
        <v>46262</v>
      </c>
      <c r="C252" s="8" t="s">
        <v>98</v>
      </c>
      <c r="D252" s="7" t="s">
        <v>4</v>
      </c>
      <c r="E252" s="8" t="s">
        <v>88</v>
      </c>
      <c r="F252" s="8" t="s">
        <v>89</v>
      </c>
      <c r="G252" s="25"/>
      <c r="H252" s="13">
        <f t="shared" si="24"/>
        <v>0</v>
      </c>
      <c r="I252" s="20">
        <v>0</v>
      </c>
      <c r="J252" s="16">
        <f t="shared" si="30"/>
        <v>9.2499999999999995E-3</v>
      </c>
      <c r="K252" s="10" t="s">
        <v>31</v>
      </c>
      <c r="L252" s="11" t="s">
        <v>54</v>
      </c>
      <c r="M252" s="34">
        <v>489.18180975609749</v>
      </c>
      <c r="N252" s="37"/>
      <c r="O252" s="12">
        <f t="shared" si="25"/>
        <v>561.07839533422509</v>
      </c>
      <c r="P252" s="66" t="s">
        <v>172</v>
      </c>
      <c r="R252" s="58">
        <f t="shared" si="31"/>
        <v>0</v>
      </c>
      <c r="S252" s="5"/>
      <c r="T252" s="6"/>
      <c r="U252" s="7"/>
      <c r="V252" s="8"/>
      <c r="W252" s="8"/>
      <c r="X252" s="47"/>
      <c r="Y252" s="13"/>
      <c r="Z252" s="57"/>
    </row>
    <row r="253" spans="2:26" x14ac:dyDescent="0.35">
      <c r="B253" s="5">
        <v>46262</v>
      </c>
      <c r="C253" s="8" t="s">
        <v>99</v>
      </c>
      <c r="D253" s="7" t="s">
        <v>4</v>
      </c>
      <c r="E253" s="8" t="s">
        <v>88</v>
      </c>
      <c r="F253" s="8" t="s">
        <v>89</v>
      </c>
      <c r="G253" s="25"/>
      <c r="H253" s="13">
        <f t="shared" si="24"/>
        <v>0</v>
      </c>
      <c r="I253" s="20">
        <v>0</v>
      </c>
      <c r="J253" s="16">
        <f t="shared" si="30"/>
        <v>9.2499999999999995E-3</v>
      </c>
      <c r="K253" s="10" t="s">
        <v>31</v>
      </c>
      <c r="L253" s="11" t="s">
        <v>54</v>
      </c>
      <c r="M253" s="34">
        <v>564.75200292682928</v>
      </c>
      <c r="N253" s="37"/>
      <c r="O253" s="12">
        <f t="shared" si="25"/>
        <v>647.75537692614557</v>
      </c>
      <c r="P253" s="66" t="s">
        <v>172</v>
      </c>
      <c r="R253" s="58">
        <f t="shared" si="31"/>
        <v>0</v>
      </c>
      <c r="S253" s="5"/>
      <c r="T253" s="6"/>
      <c r="U253" s="7"/>
      <c r="V253" s="8"/>
      <c r="W253" s="8"/>
      <c r="X253" s="47"/>
      <c r="Y253" s="13"/>
      <c r="Z253" s="57"/>
    </row>
    <row r="254" spans="2:26" x14ac:dyDescent="0.35">
      <c r="B254" s="5">
        <v>46262</v>
      </c>
      <c r="C254" s="8" t="s">
        <v>97</v>
      </c>
      <c r="D254" s="14" t="s">
        <v>4</v>
      </c>
      <c r="E254" s="15" t="s">
        <v>185</v>
      </c>
      <c r="F254" s="8" t="s">
        <v>184</v>
      </c>
      <c r="G254" s="89">
        <v>5400</v>
      </c>
      <c r="H254" s="13">
        <f t="shared" si="24"/>
        <v>5350.05</v>
      </c>
      <c r="I254" s="20">
        <v>0</v>
      </c>
      <c r="J254" s="16">
        <f t="shared" si="30"/>
        <v>9.2499999999999995E-3</v>
      </c>
      <c r="K254" s="10" t="s">
        <v>31</v>
      </c>
      <c r="L254" s="11" t="s">
        <v>32</v>
      </c>
      <c r="M254" s="34">
        <v>493.74063902439019</v>
      </c>
      <c r="N254" s="37"/>
      <c r="O254" s="12">
        <f t="shared" si="25"/>
        <v>6759.9621946463767</v>
      </c>
      <c r="P254" s="66"/>
      <c r="R254" s="58">
        <f t="shared" si="31"/>
        <v>0</v>
      </c>
      <c r="S254" s="5"/>
      <c r="T254" s="6"/>
      <c r="U254" s="7"/>
      <c r="V254" s="8"/>
      <c r="W254" s="8"/>
      <c r="X254" s="47"/>
      <c r="Y254" s="13"/>
      <c r="Z254" s="57"/>
    </row>
    <row r="255" spans="2:26" x14ac:dyDescent="0.35">
      <c r="B255" s="5">
        <v>46262</v>
      </c>
      <c r="C255" s="8" t="s">
        <v>99</v>
      </c>
      <c r="D255" s="14" t="s">
        <v>4</v>
      </c>
      <c r="E255" s="15" t="s">
        <v>185</v>
      </c>
      <c r="F255" s="8" t="s">
        <v>184</v>
      </c>
      <c r="G255" s="89">
        <v>5400</v>
      </c>
      <c r="H255" s="13">
        <f t="shared" si="24"/>
        <v>5350.05</v>
      </c>
      <c r="I255" s="20">
        <v>0</v>
      </c>
      <c r="J255" s="16">
        <f t="shared" si="30"/>
        <v>9.2499999999999995E-3</v>
      </c>
      <c r="K255" s="10" t="s">
        <v>31</v>
      </c>
      <c r="L255" s="11" t="s">
        <v>32</v>
      </c>
      <c r="M255" s="34">
        <v>564.75200292682928</v>
      </c>
      <c r="N255" s="37"/>
      <c r="O255" s="12">
        <f t="shared" si="25"/>
        <v>6841.4103215273426</v>
      </c>
      <c r="P255" s="66"/>
      <c r="R255" s="58">
        <f t="shared" si="31"/>
        <v>0</v>
      </c>
      <c r="S255" s="5"/>
      <c r="T255" s="6"/>
      <c r="U255" s="7"/>
      <c r="V255" s="8"/>
      <c r="W255" s="8"/>
      <c r="X255" s="47"/>
      <c r="Y255" s="13"/>
      <c r="Z255" s="57"/>
    </row>
    <row r="256" spans="2:26" x14ac:dyDescent="0.35">
      <c r="B256" s="5">
        <v>46262</v>
      </c>
      <c r="C256" s="8" t="s">
        <v>98</v>
      </c>
      <c r="D256" s="14" t="s">
        <v>4</v>
      </c>
      <c r="E256" s="15" t="s">
        <v>185</v>
      </c>
      <c r="F256" s="8" t="s">
        <v>184</v>
      </c>
      <c r="G256" s="89">
        <v>5400</v>
      </c>
      <c r="H256" s="13">
        <f t="shared" si="24"/>
        <v>5350.05</v>
      </c>
      <c r="I256" s="20">
        <v>0</v>
      </c>
      <c r="J256" s="16">
        <f t="shared" si="30"/>
        <v>9.2499999999999995E-3</v>
      </c>
      <c r="K256" s="10" t="s">
        <v>31</v>
      </c>
      <c r="L256" s="11" t="s">
        <v>32</v>
      </c>
      <c r="M256" s="34">
        <v>489.18180975609749</v>
      </c>
      <c r="N256" s="37"/>
      <c r="O256" s="12">
        <f t="shared" si="25"/>
        <v>6754.7333399354229</v>
      </c>
      <c r="P256" s="66"/>
      <c r="R256" s="58">
        <f t="shared" si="31"/>
        <v>0</v>
      </c>
      <c r="S256" s="5"/>
      <c r="T256" s="6"/>
      <c r="U256" s="7"/>
      <c r="V256" s="8"/>
      <c r="W256" s="8"/>
      <c r="X256" s="47"/>
      <c r="Y256" s="13"/>
      <c r="Z256" s="57"/>
    </row>
    <row r="257" spans="2:26" x14ac:dyDescent="0.35">
      <c r="B257" s="5">
        <v>46262</v>
      </c>
      <c r="C257" s="6" t="s">
        <v>114</v>
      </c>
      <c r="D257" s="7" t="s">
        <v>5</v>
      </c>
      <c r="E257" s="8" t="s">
        <v>24</v>
      </c>
      <c r="F257" s="8" t="s">
        <v>25</v>
      </c>
      <c r="G257" s="47">
        <v>6050</v>
      </c>
      <c r="H257" s="13">
        <f t="shared" si="24"/>
        <v>5677.042286649551</v>
      </c>
      <c r="I257" s="20">
        <v>0</v>
      </c>
      <c r="J257" s="16">
        <f t="shared" si="30"/>
        <v>9.2499999999999995E-3</v>
      </c>
      <c r="K257" s="10" t="s">
        <v>18</v>
      </c>
      <c r="L257" s="11" t="s">
        <v>19</v>
      </c>
      <c r="M257" s="34">
        <v>662.70499512195113</v>
      </c>
      <c r="N257" s="34">
        <v>316.99521335044921</v>
      </c>
      <c r="O257" s="12">
        <f t="shared" si="25"/>
        <v>7335.7073174265388</v>
      </c>
      <c r="P257" s="77"/>
      <c r="R257" s="58">
        <f t="shared" si="31"/>
        <v>0</v>
      </c>
      <c r="S257" s="5"/>
      <c r="T257" s="6"/>
      <c r="U257" s="7"/>
      <c r="V257" s="8"/>
      <c r="W257" s="8"/>
      <c r="X257" s="47"/>
      <c r="Y257" s="13"/>
      <c r="Z257" s="57"/>
    </row>
    <row r="258" spans="2:26" x14ac:dyDescent="0.35">
      <c r="B258" s="5">
        <v>46262</v>
      </c>
      <c r="C258" s="6" t="s">
        <v>103</v>
      </c>
      <c r="D258" s="7" t="s">
        <v>1</v>
      </c>
      <c r="E258" s="8" t="s">
        <v>82</v>
      </c>
      <c r="F258" s="8" t="s">
        <v>81</v>
      </c>
      <c r="G258" s="47">
        <v>5500</v>
      </c>
      <c r="H258" s="13">
        <f t="shared" si="24"/>
        <v>5068.0050000000001</v>
      </c>
      <c r="I258" s="21">
        <v>0</v>
      </c>
      <c r="J258" s="16">
        <f t="shared" si="30"/>
        <v>9.2499999999999995E-3</v>
      </c>
      <c r="K258" s="10" t="s">
        <v>18</v>
      </c>
      <c r="L258" s="11" t="s">
        <v>28</v>
      </c>
      <c r="M258" s="34">
        <v>583.38495121951212</v>
      </c>
      <c r="N258" s="34">
        <v>381.12</v>
      </c>
      <c r="O258" s="12">
        <f t="shared" si="25"/>
        <v>6540.3447241753402</v>
      </c>
      <c r="P258" s="66"/>
      <c r="R258" s="58">
        <f t="shared" si="31"/>
        <v>0</v>
      </c>
      <c r="S258" s="5"/>
      <c r="T258" s="6"/>
      <c r="U258" s="7"/>
      <c r="V258" s="8"/>
      <c r="W258" s="8"/>
      <c r="X258" s="47"/>
      <c r="Y258" s="13"/>
      <c r="Z258" s="57"/>
    </row>
    <row r="259" spans="2:26" x14ac:dyDescent="0.35">
      <c r="B259" s="5">
        <v>46262</v>
      </c>
      <c r="C259" s="6" t="s">
        <v>104</v>
      </c>
      <c r="D259" s="7" t="s">
        <v>1</v>
      </c>
      <c r="E259" s="8" t="s">
        <v>82</v>
      </c>
      <c r="F259" s="8" t="s">
        <v>81</v>
      </c>
      <c r="G259" s="47">
        <v>5500</v>
      </c>
      <c r="H259" s="13">
        <f t="shared" ref="H259:H299" si="32">((G259))*(1-I259)*(1-J259)-N259</f>
        <v>5286.3649999999998</v>
      </c>
      <c r="I259" s="21">
        <v>0</v>
      </c>
      <c r="J259" s="16">
        <f t="shared" si="30"/>
        <v>9.2499999999999995E-3</v>
      </c>
      <c r="K259" s="10" t="s">
        <v>18</v>
      </c>
      <c r="L259" s="11" t="s">
        <v>28</v>
      </c>
      <c r="M259" s="31">
        <v>786.43704585365845</v>
      </c>
      <c r="N259" s="31">
        <v>162.76</v>
      </c>
      <c r="O259" s="12">
        <f t="shared" ref="O259:O299" si="33">IF(I259=0,((G259+M259-N259)/(1-J259))/0.88,(G259+M259-N259))</f>
        <v>7023.6930767022895</v>
      </c>
      <c r="P259" s="66"/>
      <c r="R259" s="58">
        <f t="shared" si="31"/>
        <v>0</v>
      </c>
      <c r="S259" s="5"/>
      <c r="T259" s="6"/>
      <c r="U259" s="7"/>
      <c r="V259" s="8"/>
      <c r="W259" s="8"/>
      <c r="X259" s="47"/>
      <c r="Y259" s="13"/>
      <c r="Z259" s="57"/>
    </row>
    <row r="260" spans="2:26" x14ac:dyDescent="0.35">
      <c r="B260" s="5">
        <v>46262</v>
      </c>
      <c r="C260" s="6" t="s">
        <v>106</v>
      </c>
      <c r="D260" s="7" t="s">
        <v>1</v>
      </c>
      <c r="E260" s="8" t="s">
        <v>82</v>
      </c>
      <c r="F260" s="8" t="s">
        <v>81</v>
      </c>
      <c r="G260" s="93">
        <v>5500</v>
      </c>
      <c r="H260" s="13">
        <f t="shared" si="32"/>
        <v>5273.2150000000001</v>
      </c>
      <c r="I260" s="21">
        <v>0</v>
      </c>
      <c r="J260" s="16">
        <f t="shared" si="30"/>
        <v>9.2499999999999995E-3</v>
      </c>
      <c r="K260" s="10" t="s">
        <v>18</v>
      </c>
      <c r="L260" s="11" t="s">
        <v>28</v>
      </c>
      <c r="M260" s="31">
        <v>939.24825951219509</v>
      </c>
      <c r="N260" s="31">
        <v>175.91</v>
      </c>
      <c r="O260" s="12">
        <f t="shared" si="33"/>
        <v>7183.880737173622</v>
      </c>
      <c r="P260" s="66"/>
      <c r="R260" s="58">
        <f t="shared" si="31"/>
        <v>0</v>
      </c>
      <c r="S260" s="5"/>
      <c r="T260" s="6"/>
      <c r="U260" s="7"/>
      <c r="V260" s="8"/>
      <c r="W260" s="8"/>
      <c r="X260" s="47"/>
      <c r="Y260" s="13"/>
      <c r="Z260" s="57"/>
    </row>
    <row r="261" spans="2:26" x14ac:dyDescent="0.35">
      <c r="B261" s="5">
        <v>46262</v>
      </c>
      <c r="C261" s="6" t="s">
        <v>111</v>
      </c>
      <c r="D261" s="7" t="s">
        <v>1</v>
      </c>
      <c r="E261" s="8" t="s">
        <v>82</v>
      </c>
      <c r="F261" s="8" t="s">
        <v>81</v>
      </c>
      <c r="G261" s="93">
        <v>5500</v>
      </c>
      <c r="H261" s="13">
        <f t="shared" si="32"/>
        <v>5240.4650000000001</v>
      </c>
      <c r="I261" s="21">
        <v>0</v>
      </c>
      <c r="J261" s="16">
        <f t="shared" si="30"/>
        <v>9.2499999999999995E-3</v>
      </c>
      <c r="K261" s="10" t="s">
        <v>18</v>
      </c>
      <c r="L261" s="11" t="s">
        <v>28</v>
      </c>
      <c r="M261" s="31">
        <v>965.39140357723568</v>
      </c>
      <c r="N261" s="31">
        <v>208.66</v>
      </c>
      <c r="O261" s="12">
        <f t="shared" si="33"/>
        <v>7176.3028508903217</v>
      </c>
      <c r="P261" s="66"/>
      <c r="R261" s="58">
        <f t="shared" si="31"/>
        <v>0</v>
      </c>
      <c r="S261" s="5"/>
      <c r="T261" s="6"/>
      <c r="U261" s="7"/>
      <c r="V261" s="8"/>
      <c r="W261" s="8"/>
      <c r="X261" s="47"/>
      <c r="Y261" s="13"/>
      <c r="Z261" s="57"/>
    </row>
    <row r="262" spans="2:26" x14ac:dyDescent="0.35">
      <c r="B262" s="5">
        <v>46262</v>
      </c>
      <c r="C262" s="6" t="s">
        <v>108</v>
      </c>
      <c r="D262" s="7" t="s">
        <v>1</v>
      </c>
      <c r="E262" s="8" t="s">
        <v>82</v>
      </c>
      <c r="F262" s="8" t="s">
        <v>81</v>
      </c>
      <c r="G262" s="47">
        <v>5500</v>
      </c>
      <c r="H262" s="13">
        <f t="shared" si="32"/>
        <v>5200.3649999999998</v>
      </c>
      <c r="I262" s="21">
        <v>0</v>
      </c>
      <c r="J262" s="16">
        <f t="shared" si="30"/>
        <v>9.2499999999999995E-3</v>
      </c>
      <c r="K262" s="10" t="s">
        <v>18</v>
      </c>
      <c r="L262" s="11" t="s">
        <v>28</v>
      </c>
      <c r="M262" s="31">
        <v>994.64974569105698</v>
      </c>
      <c r="N262" s="31">
        <v>248.76</v>
      </c>
      <c r="O262" s="12">
        <f t="shared" si="33"/>
        <v>7163.8677605246894</v>
      </c>
      <c r="P262" s="66"/>
      <c r="R262" s="58">
        <f t="shared" si="31"/>
        <v>0</v>
      </c>
      <c r="S262" s="5"/>
      <c r="T262" s="6"/>
      <c r="U262" s="7"/>
      <c r="V262" s="8"/>
      <c r="W262" s="8"/>
      <c r="X262" s="47"/>
      <c r="Y262" s="13"/>
      <c r="Z262" s="57"/>
    </row>
    <row r="263" spans="2:26" x14ac:dyDescent="0.35">
      <c r="B263" s="5">
        <v>46262</v>
      </c>
      <c r="C263" s="6" t="s">
        <v>109</v>
      </c>
      <c r="D263" s="7" t="s">
        <v>1</v>
      </c>
      <c r="E263" s="8" t="s">
        <v>82</v>
      </c>
      <c r="F263" s="8" t="s">
        <v>81</v>
      </c>
      <c r="G263" s="47">
        <v>5500</v>
      </c>
      <c r="H263" s="13">
        <f t="shared" si="32"/>
        <v>5167.0649999999996</v>
      </c>
      <c r="I263" s="21">
        <v>0</v>
      </c>
      <c r="J263" s="16">
        <f t="shared" si="30"/>
        <v>9.2499999999999995E-3</v>
      </c>
      <c r="K263" s="10" t="s">
        <v>18</v>
      </c>
      <c r="L263" s="11" t="s">
        <v>28</v>
      </c>
      <c r="M263" s="31">
        <v>836.82715447154465</v>
      </c>
      <c r="N263" s="31">
        <v>282.06</v>
      </c>
      <c r="O263" s="12">
        <f t="shared" si="33"/>
        <v>6944.6552823521479</v>
      </c>
      <c r="P263" s="66"/>
      <c r="R263" s="58">
        <f t="shared" si="31"/>
        <v>0</v>
      </c>
      <c r="S263" s="5"/>
      <c r="T263" s="6"/>
      <c r="U263" s="7"/>
      <c r="V263" s="8"/>
      <c r="W263" s="8"/>
      <c r="X263" s="47"/>
      <c r="Y263" s="13"/>
      <c r="Z263" s="57"/>
    </row>
    <row r="264" spans="2:26" x14ac:dyDescent="0.35">
      <c r="B264" s="5">
        <v>46262</v>
      </c>
      <c r="C264" s="6" t="s">
        <v>107</v>
      </c>
      <c r="D264" s="7" t="s">
        <v>1</v>
      </c>
      <c r="E264" s="8" t="s">
        <v>82</v>
      </c>
      <c r="F264" s="8" t="s">
        <v>81</v>
      </c>
      <c r="G264" s="47">
        <v>5500</v>
      </c>
      <c r="H264" s="13">
        <f t="shared" si="32"/>
        <v>5139.8450000000003</v>
      </c>
      <c r="I264" s="21">
        <v>0</v>
      </c>
      <c r="J264" s="16">
        <f t="shared" si="30"/>
        <v>9.2499999999999995E-3</v>
      </c>
      <c r="K264" s="10" t="s">
        <v>18</v>
      </c>
      <c r="L264" s="10" t="s">
        <v>28</v>
      </c>
      <c r="M264" s="84">
        <v>876.56072845528456</v>
      </c>
      <c r="N264" s="34">
        <v>309.27999999999997</v>
      </c>
      <c r="O264" s="12">
        <f t="shared" si="33"/>
        <v>6959.0080155704864</v>
      </c>
      <c r="P264" s="66"/>
      <c r="Q264" s="79"/>
      <c r="R264" s="58">
        <f t="shared" si="31"/>
        <v>0</v>
      </c>
      <c r="S264" s="5"/>
      <c r="T264" s="6"/>
      <c r="U264" s="7"/>
      <c r="V264" s="8"/>
      <c r="W264" s="8"/>
      <c r="X264" s="47"/>
      <c r="Y264" s="13"/>
      <c r="Z264" s="57"/>
    </row>
    <row r="265" spans="2:26" x14ac:dyDescent="0.35">
      <c r="B265" s="5">
        <v>46262</v>
      </c>
      <c r="C265" s="6" t="s">
        <v>105</v>
      </c>
      <c r="D265" s="7" t="s">
        <v>1</v>
      </c>
      <c r="E265" s="8" t="s">
        <v>82</v>
      </c>
      <c r="F265" s="8" t="s">
        <v>81</v>
      </c>
      <c r="G265" s="47">
        <v>5500</v>
      </c>
      <c r="H265" s="13">
        <f t="shared" si="32"/>
        <v>5109.9049999999997</v>
      </c>
      <c r="I265" s="21">
        <v>0</v>
      </c>
      <c r="J265" s="16">
        <f t="shared" si="30"/>
        <v>9.2499999999999995E-3</v>
      </c>
      <c r="K265" s="10" t="s">
        <v>18</v>
      </c>
      <c r="L265" s="11" t="s">
        <v>28</v>
      </c>
      <c r="M265" s="31">
        <v>608.76454471544707</v>
      </c>
      <c r="N265" s="31">
        <v>339.22</v>
      </c>
      <c r="O265" s="12">
        <f t="shared" si="33"/>
        <v>6617.5126106432772</v>
      </c>
      <c r="P265" s="66"/>
      <c r="R265" s="58">
        <f t="shared" si="31"/>
        <v>0</v>
      </c>
      <c r="S265" s="5"/>
      <c r="T265" s="6"/>
      <c r="U265" s="7"/>
      <c r="V265" s="8"/>
      <c r="W265" s="8"/>
      <c r="X265" s="47"/>
      <c r="Y265" s="13"/>
      <c r="Z265" s="57"/>
    </row>
    <row r="266" spans="2:26" x14ac:dyDescent="0.35">
      <c r="B266" s="5">
        <v>46262</v>
      </c>
      <c r="C266" s="6" t="s">
        <v>110</v>
      </c>
      <c r="D266" s="7" t="s">
        <v>1</v>
      </c>
      <c r="E266" s="8" t="s">
        <v>82</v>
      </c>
      <c r="F266" s="8" t="s">
        <v>81</v>
      </c>
      <c r="G266" s="47">
        <v>5500</v>
      </c>
      <c r="H266" s="13">
        <f t="shared" si="32"/>
        <v>5071.8850000000002</v>
      </c>
      <c r="I266" s="21">
        <v>0</v>
      </c>
      <c r="J266" s="16">
        <f t="shared" si="30"/>
        <v>9.2499999999999995E-3</v>
      </c>
      <c r="K266" s="10" t="s">
        <v>18</v>
      </c>
      <c r="L266" s="11" t="s">
        <v>28</v>
      </c>
      <c r="M266" s="31">
        <v>866.50006796747971</v>
      </c>
      <c r="N266" s="31">
        <v>377.24</v>
      </c>
      <c r="O266" s="12">
        <f t="shared" si="33"/>
        <v>6869.5204137906085</v>
      </c>
      <c r="P266" s="66"/>
      <c r="R266" s="58">
        <f t="shared" si="31"/>
        <v>0</v>
      </c>
      <c r="S266" s="5"/>
      <c r="T266" s="6"/>
      <c r="U266" s="7"/>
      <c r="V266" s="8"/>
      <c r="W266" s="8"/>
      <c r="X266" s="47"/>
      <c r="Y266" s="13"/>
      <c r="Z266" s="57"/>
    </row>
    <row r="267" spans="2:26" x14ac:dyDescent="0.35">
      <c r="B267" s="5">
        <v>46262</v>
      </c>
      <c r="C267" s="6" t="s">
        <v>120</v>
      </c>
      <c r="D267" s="7" t="s">
        <v>7</v>
      </c>
      <c r="E267" s="8" t="s">
        <v>51</v>
      </c>
      <c r="F267" s="8" t="s">
        <v>25</v>
      </c>
      <c r="G267" s="47">
        <f>6150+50</f>
        <v>6200</v>
      </c>
      <c r="H267" s="13">
        <f t="shared" si="32"/>
        <v>4800.7820000000002</v>
      </c>
      <c r="I267" s="9">
        <v>0.12</v>
      </c>
      <c r="J267" s="16">
        <f t="shared" si="30"/>
        <v>9.2499999999999995E-3</v>
      </c>
      <c r="K267" s="10" t="s">
        <v>18</v>
      </c>
      <c r="L267" s="11" t="s">
        <v>19</v>
      </c>
      <c r="M267" s="31">
        <v>911.61348455284553</v>
      </c>
      <c r="N267" s="31">
        <v>604.75</v>
      </c>
      <c r="O267" s="12">
        <f t="shared" si="33"/>
        <v>6506.8634845528459</v>
      </c>
      <c r="P267" s="75" t="s">
        <v>203</v>
      </c>
      <c r="R267" s="58">
        <f t="shared" si="31"/>
        <v>0</v>
      </c>
      <c r="S267" s="5"/>
      <c r="T267" s="6"/>
      <c r="U267" s="7"/>
      <c r="V267" s="8"/>
      <c r="W267" s="8"/>
      <c r="X267" s="47"/>
      <c r="Y267" s="13"/>
      <c r="Z267" s="57"/>
    </row>
    <row r="268" spans="2:26" x14ac:dyDescent="0.35">
      <c r="B268" s="5">
        <v>46262</v>
      </c>
      <c r="C268" s="6" t="s">
        <v>116</v>
      </c>
      <c r="D268" s="7" t="s">
        <v>6</v>
      </c>
      <c r="E268" s="8" t="s">
        <v>51</v>
      </c>
      <c r="F268" s="8" t="s">
        <v>46</v>
      </c>
      <c r="G268" s="93">
        <f t="shared" ref="G268:G271" si="34">5500+50</f>
        <v>5550</v>
      </c>
      <c r="H268" s="13">
        <f t="shared" si="32"/>
        <v>5244.1025390243904</v>
      </c>
      <c r="I268" s="20">
        <v>0</v>
      </c>
      <c r="J268" s="16">
        <f t="shared" si="30"/>
        <v>9.2499999999999995E-3</v>
      </c>
      <c r="K268" s="10" t="s">
        <v>18</v>
      </c>
      <c r="L268" s="22" t="s">
        <v>19</v>
      </c>
      <c r="M268" s="35">
        <v>1089.880593495935</v>
      </c>
      <c r="N268" s="32">
        <v>254.55996097560975</v>
      </c>
      <c r="O268" s="12">
        <f t="shared" si="33"/>
        <v>7323.7912423099178</v>
      </c>
      <c r="P268" s="75" t="s">
        <v>203</v>
      </c>
      <c r="R268" s="58">
        <f t="shared" si="31"/>
        <v>0</v>
      </c>
      <c r="S268" s="5"/>
      <c r="T268" s="6"/>
      <c r="U268" s="7"/>
      <c r="V268" s="8"/>
      <c r="W268" s="8"/>
      <c r="X268" s="47"/>
      <c r="Y268" s="13"/>
      <c r="Z268" s="57"/>
    </row>
    <row r="269" spans="2:26" x14ac:dyDescent="0.35">
      <c r="B269" s="5">
        <v>46262</v>
      </c>
      <c r="C269" s="6" t="s">
        <v>117</v>
      </c>
      <c r="D269" s="7" t="s">
        <v>6</v>
      </c>
      <c r="E269" s="8" t="s">
        <v>51</v>
      </c>
      <c r="F269" s="8" t="s">
        <v>46</v>
      </c>
      <c r="G269" s="93">
        <f t="shared" si="34"/>
        <v>5550</v>
      </c>
      <c r="H269" s="13">
        <f t="shared" si="32"/>
        <v>5111.1586352845534</v>
      </c>
      <c r="I269" s="20">
        <v>0</v>
      </c>
      <c r="J269" s="16">
        <f t="shared" si="30"/>
        <v>9.2499999999999995E-3</v>
      </c>
      <c r="K269" s="10" t="s">
        <v>18</v>
      </c>
      <c r="L269" s="22" t="s">
        <v>19</v>
      </c>
      <c r="M269" s="35">
        <v>942.9343300813008</v>
      </c>
      <c r="N269" s="32">
        <v>387.50386471544715</v>
      </c>
      <c r="O269" s="12">
        <f t="shared" si="33"/>
        <v>7002.7647390244456</v>
      </c>
      <c r="P269" s="75" t="s">
        <v>203</v>
      </c>
      <c r="R269" s="58">
        <f t="shared" si="31"/>
        <v>0</v>
      </c>
      <c r="S269" s="5"/>
      <c r="T269" s="6"/>
      <c r="U269" s="7"/>
      <c r="V269" s="8"/>
      <c r="W269" s="8"/>
      <c r="X269" s="47"/>
      <c r="Y269" s="13"/>
      <c r="Z269" s="57"/>
    </row>
    <row r="270" spans="2:26" x14ac:dyDescent="0.35">
      <c r="B270" s="5">
        <v>46262</v>
      </c>
      <c r="C270" s="6" t="s">
        <v>119</v>
      </c>
      <c r="D270" s="7" t="s">
        <v>6</v>
      </c>
      <c r="E270" s="8" t="s">
        <v>51</v>
      </c>
      <c r="F270" s="8" t="s">
        <v>46</v>
      </c>
      <c r="G270" s="93">
        <f t="shared" si="34"/>
        <v>5550</v>
      </c>
      <c r="H270" s="13">
        <f t="shared" si="32"/>
        <v>5101.1634021138216</v>
      </c>
      <c r="I270" s="20">
        <v>0</v>
      </c>
      <c r="J270" s="16">
        <f t="shared" si="30"/>
        <v>9.2499999999999995E-3</v>
      </c>
      <c r="K270" s="10" t="s">
        <v>18</v>
      </c>
      <c r="L270" s="22" t="s">
        <v>19</v>
      </c>
      <c r="M270" s="35">
        <v>1004.1712263414634</v>
      </c>
      <c r="N270" s="32">
        <v>397.4990978861789</v>
      </c>
      <c r="O270" s="12">
        <f t="shared" si="33"/>
        <v>7061.5375501287872</v>
      </c>
      <c r="P270" s="75" t="s">
        <v>203</v>
      </c>
      <c r="Q270" s="86"/>
      <c r="R270" s="58">
        <f t="shared" si="31"/>
        <v>0</v>
      </c>
      <c r="S270" s="5"/>
      <c r="T270" s="6"/>
      <c r="U270" s="7"/>
      <c r="V270" s="8"/>
      <c r="W270" s="8"/>
      <c r="X270" s="47"/>
      <c r="Y270" s="13"/>
      <c r="Z270" s="57"/>
    </row>
    <row r="271" spans="2:26" x14ac:dyDescent="0.35">
      <c r="B271" s="5">
        <v>46262</v>
      </c>
      <c r="C271" s="6" t="s">
        <v>115</v>
      </c>
      <c r="D271" s="7" t="s">
        <v>6</v>
      </c>
      <c r="E271" s="8" t="s">
        <v>51</v>
      </c>
      <c r="F271" s="8" t="s">
        <v>46</v>
      </c>
      <c r="G271" s="93">
        <f t="shared" si="34"/>
        <v>5550</v>
      </c>
      <c r="H271" s="13">
        <f t="shared" si="32"/>
        <v>5070.1768707317078</v>
      </c>
      <c r="I271" s="20">
        <v>0</v>
      </c>
      <c r="J271" s="16">
        <f t="shared" si="30"/>
        <v>9.2499999999999995E-3</v>
      </c>
      <c r="K271" s="10" t="s">
        <v>18</v>
      </c>
      <c r="L271" s="22" t="s">
        <v>19</v>
      </c>
      <c r="M271" s="32">
        <v>891.34357886178839</v>
      </c>
      <c r="N271" s="32">
        <v>428.48562926829271</v>
      </c>
      <c r="O271" s="12">
        <f t="shared" si="33"/>
        <v>6896.5865501267353</v>
      </c>
      <c r="P271" s="75" t="s">
        <v>203</v>
      </c>
      <c r="R271" s="58">
        <f t="shared" si="31"/>
        <v>0</v>
      </c>
      <c r="S271" s="5"/>
      <c r="T271" s="6"/>
      <c r="U271" s="7"/>
      <c r="V271" s="8"/>
      <c r="W271" s="8"/>
      <c r="X271" s="47"/>
      <c r="Y271" s="13"/>
      <c r="Z271" s="57"/>
    </row>
    <row r="272" spans="2:26" x14ac:dyDescent="0.35">
      <c r="B272" s="5">
        <v>46262</v>
      </c>
      <c r="C272" s="6" t="s">
        <v>118</v>
      </c>
      <c r="D272" s="7" t="s">
        <v>6</v>
      </c>
      <c r="E272" s="8" t="s">
        <v>51</v>
      </c>
      <c r="F272" s="8" t="s">
        <v>46</v>
      </c>
      <c r="G272" s="93">
        <f>5500+50</f>
        <v>5550</v>
      </c>
      <c r="H272" s="13">
        <f t="shared" si="32"/>
        <v>5044.2004082926833</v>
      </c>
      <c r="I272" s="20">
        <v>0</v>
      </c>
      <c r="J272" s="16">
        <f t="shared" si="30"/>
        <v>9.2499999999999995E-3</v>
      </c>
      <c r="K272" s="10" t="s">
        <v>18</v>
      </c>
      <c r="L272" s="22" t="s">
        <v>19</v>
      </c>
      <c r="M272" s="35">
        <v>1026.9603073170733</v>
      </c>
      <c r="N272" s="32">
        <v>454.46209170731709</v>
      </c>
      <c r="O272" s="12">
        <f t="shared" si="33"/>
        <v>7022.3409900784027</v>
      </c>
      <c r="P272" s="75" t="s">
        <v>203</v>
      </c>
      <c r="R272" s="58">
        <f t="shared" si="31"/>
        <v>0</v>
      </c>
      <c r="S272" s="5"/>
      <c r="T272" s="6"/>
      <c r="U272" s="7"/>
      <c r="V272" s="8"/>
      <c r="W272" s="8"/>
      <c r="X272" s="47"/>
      <c r="Y272" s="13"/>
      <c r="Z272" s="57"/>
    </row>
    <row r="273" spans="2:26" x14ac:dyDescent="0.35">
      <c r="B273" s="5">
        <v>46262</v>
      </c>
      <c r="C273" s="6" t="s">
        <v>120</v>
      </c>
      <c r="D273" s="7" t="s">
        <v>7</v>
      </c>
      <c r="E273" s="8" t="s">
        <v>51</v>
      </c>
      <c r="F273" s="8" t="s">
        <v>46</v>
      </c>
      <c r="G273" s="93">
        <f>5600+50</f>
        <v>5650</v>
      </c>
      <c r="H273" s="13">
        <f t="shared" si="32"/>
        <v>4570.4642169105691</v>
      </c>
      <c r="I273" s="20">
        <v>0.12</v>
      </c>
      <c r="J273" s="16">
        <f t="shared" si="30"/>
        <v>9.2499999999999995E-3</v>
      </c>
      <c r="K273" s="10" t="s">
        <v>18</v>
      </c>
      <c r="L273" s="22" t="s">
        <v>19</v>
      </c>
      <c r="M273" s="35">
        <v>911.61348455284553</v>
      </c>
      <c r="N273" s="32">
        <v>355.54478308943084</v>
      </c>
      <c r="O273" s="12">
        <f t="shared" si="33"/>
        <v>6206.068701463415</v>
      </c>
      <c r="P273" s="75" t="s">
        <v>203</v>
      </c>
      <c r="Q273" s="78"/>
      <c r="R273" s="58">
        <f t="shared" si="31"/>
        <v>0</v>
      </c>
      <c r="S273" s="66"/>
      <c r="T273" s="6"/>
      <c r="U273" s="7"/>
      <c r="V273" s="8"/>
      <c r="W273" s="8"/>
      <c r="X273" s="47"/>
      <c r="Y273" s="13"/>
      <c r="Z273" s="57"/>
    </row>
    <row r="274" spans="2:26" x14ac:dyDescent="0.35">
      <c r="B274" s="5">
        <v>46262</v>
      </c>
      <c r="C274" s="6" t="s">
        <v>128</v>
      </c>
      <c r="D274" s="7" t="s">
        <v>15</v>
      </c>
      <c r="E274" s="8" t="s">
        <v>16</v>
      </c>
      <c r="F274" s="8" t="s">
        <v>17</v>
      </c>
      <c r="G274" s="93">
        <f>5500+50</f>
        <v>5550</v>
      </c>
      <c r="H274" s="13">
        <f t="shared" si="32"/>
        <v>4382.5432861788622</v>
      </c>
      <c r="I274" s="9">
        <v>0.12</v>
      </c>
      <c r="J274" s="16">
        <f t="shared" ref="J274:J299" si="35">9.25%*10%</f>
        <v>9.2499999999999995E-3</v>
      </c>
      <c r="K274" s="10" t="s">
        <v>18</v>
      </c>
      <c r="L274" s="11" t="s">
        <v>19</v>
      </c>
      <c r="M274" s="33">
        <v>1439.1768234146339</v>
      </c>
      <c r="N274" s="31">
        <v>456.27971382113822</v>
      </c>
      <c r="O274" s="12">
        <f t="shared" si="33"/>
        <v>6532.8971095934958</v>
      </c>
      <c r="P274" s="75" t="s">
        <v>203</v>
      </c>
      <c r="R274" s="58">
        <f t="shared" si="31"/>
        <v>0</v>
      </c>
      <c r="S274" s="5"/>
      <c r="T274" s="6"/>
      <c r="U274" s="7"/>
      <c r="V274" s="8"/>
      <c r="W274" s="8"/>
      <c r="X274" s="47"/>
      <c r="Y274" s="13"/>
      <c r="Z274" s="57"/>
    </row>
    <row r="275" spans="2:26" x14ac:dyDescent="0.35">
      <c r="B275" s="5">
        <v>46262</v>
      </c>
      <c r="C275" s="6" t="s">
        <v>125</v>
      </c>
      <c r="D275" s="7" t="s">
        <v>0</v>
      </c>
      <c r="E275" s="8" t="s">
        <v>16</v>
      </c>
      <c r="F275" s="8" t="s">
        <v>17</v>
      </c>
      <c r="G275" s="93">
        <f>5400+50</f>
        <v>5450</v>
      </c>
      <c r="H275" s="13">
        <f t="shared" si="32"/>
        <v>5261.0328593495942</v>
      </c>
      <c r="I275" s="20">
        <v>0</v>
      </c>
      <c r="J275" s="16">
        <f t="shared" si="35"/>
        <v>9.2499999999999995E-3</v>
      </c>
      <c r="K275" s="19" t="s">
        <v>18</v>
      </c>
      <c r="L275" s="11" t="s">
        <v>19</v>
      </c>
      <c r="M275" s="31">
        <v>1074.3294959349594</v>
      </c>
      <c r="N275" s="33">
        <v>138.5546406504065</v>
      </c>
      <c r="O275" s="12">
        <f t="shared" si="33"/>
        <v>7324.3122236191057</v>
      </c>
      <c r="P275" s="75" t="s">
        <v>203</v>
      </c>
      <c r="R275" s="58">
        <f t="shared" ref="R275:R299" si="36">IFERROR(H275/Y275-1,0)</f>
        <v>0</v>
      </c>
      <c r="S275" s="5"/>
      <c r="T275" s="6"/>
      <c r="U275" s="7"/>
      <c r="V275" s="8"/>
      <c r="W275" s="8"/>
      <c r="X275" s="47"/>
      <c r="Y275" s="13"/>
      <c r="Z275" s="57"/>
    </row>
    <row r="276" spans="2:26" x14ac:dyDescent="0.35">
      <c r="B276" s="5">
        <v>46262</v>
      </c>
      <c r="C276" s="6" t="s">
        <v>124</v>
      </c>
      <c r="D276" s="7" t="s">
        <v>0</v>
      </c>
      <c r="E276" s="8" t="s">
        <v>16</v>
      </c>
      <c r="F276" s="8" t="s">
        <v>17</v>
      </c>
      <c r="G276" s="93">
        <f t="shared" ref="G276:G278" si="37">5400+50</f>
        <v>5450</v>
      </c>
      <c r="H276" s="13">
        <f t="shared" si="32"/>
        <v>5215.4766473170739</v>
      </c>
      <c r="I276" s="20">
        <v>0</v>
      </c>
      <c r="J276" s="16">
        <f t="shared" si="35"/>
        <v>9.2499999999999995E-3</v>
      </c>
      <c r="K276" s="19" t="s">
        <v>18</v>
      </c>
      <c r="L276" s="11" t="s">
        <v>19</v>
      </c>
      <c r="M276" s="31">
        <v>1012.6924357723577</v>
      </c>
      <c r="N276" s="33">
        <v>184.1108526829268</v>
      </c>
      <c r="O276" s="12">
        <f t="shared" si="33"/>
        <v>7201.3644198488637</v>
      </c>
      <c r="P276" s="75" t="s">
        <v>203</v>
      </c>
      <c r="R276" s="58">
        <f t="shared" si="36"/>
        <v>0</v>
      </c>
      <c r="S276" s="5"/>
      <c r="T276" s="6"/>
      <c r="U276" s="7"/>
      <c r="V276" s="8"/>
      <c r="W276" s="8"/>
      <c r="X276" s="47"/>
      <c r="Y276" s="13"/>
      <c r="Z276" s="57"/>
    </row>
    <row r="277" spans="2:26" x14ac:dyDescent="0.35">
      <c r="B277" s="5">
        <v>46262</v>
      </c>
      <c r="C277" s="6" t="s">
        <v>126</v>
      </c>
      <c r="D277" s="7" t="s">
        <v>0</v>
      </c>
      <c r="E277" s="8" t="s">
        <v>16</v>
      </c>
      <c r="F277" s="8" t="s">
        <v>17</v>
      </c>
      <c r="G277" s="93">
        <f t="shared" si="37"/>
        <v>5450</v>
      </c>
      <c r="H277" s="13">
        <f t="shared" si="32"/>
        <v>5206.2517718699191</v>
      </c>
      <c r="I277" s="20">
        <v>0</v>
      </c>
      <c r="J277" s="16">
        <f t="shared" si="35"/>
        <v>9.2499999999999995E-3</v>
      </c>
      <c r="K277" s="19" t="s">
        <v>18</v>
      </c>
      <c r="L277" s="11" t="s">
        <v>19</v>
      </c>
      <c r="M277" s="31">
        <v>1198.0008253658536</v>
      </c>
      <c r="N277" s="38">
        <v>193.33572813008132</v>
      </c>
      <c r="O277" s="12">
        <f t="shared" si="33"/>
        <v>7403.3274805998344</v>
      </c>
      <c r="P277" s="75" t="s">
        <v>203</v>
      </c>
      <c r="R277" s="58">
        <f t="shared" si="36"/>
        <v>0</v>
      </c>
      <c r="S277" s="5"/>
      <c r="T277" s="6"/>
      <c r="U277" s="7"/>
      <c r="V277" s="8"/>
      <c r="W277" s="8"/>
      <c r="X277" s="47"/>
      <c r="Y277" s="13"/>
      <c r="Z277" s="57"/>
    </row>
    <row r="278" spans="2:26" x14ac:dyDescent="0.35">
      <c r="B278" s="5">
        <v>46262</v>
      </c>
      <c r="C278" s="6" t="s">
        <v>127</v>
      </c>
      <c r="D278" s="7" t="s">
        <v>0</v>
      </c>
      <c r="E278" s="8" t="s">
        <v>16</v>
      </c>
      <c r="F278" s="8" t="s">
        <v>17</v>
      </c>
      <c r="G278" s="93">
        <f t="shared" si="37"/>
        <v>5450</v>
      </c>
      <c r="H278" s="13">
        <f t="shared" si="32"/>
        <v>5123.423753658537</v>
      </c>
      <c r="I278" s="20">
        <v>0</v>
      </c>
      <c r="J278" s="16">
        <f t="shared" si="35"/>
        <v>9.2499999999999995E-3</v>
      </c>
      <c r="K278" s="19" t="s">
        <v>18</v>
      </c>
      <c r="L278" s="11" t="s">
        <v>19</v>
      </c>
      <c r="M278" s="31">
        <v>1223.6429736585367</v>
      </c>
      <c r="N278" s="33">
        <v>276.16374634146342</v>
      </c>
      <c r="O278" s="12">
        <f t="shared" si="33"/>
        <v>7337.7368239362659</v>
      </c>
      <c r="P278" s="75" t="s">
        <v>203</v>
      </c>
      <c r="R278" s="58">
        <f t="shared" si="36"/>
        <v>0</v>
      </c>
      <c r="S278" s="5"/>
      <c r="T278" s="6"/>
      <c r="U278" s="7"/>
      <c r="V278" s="8"/>
      <c r="W278" s="8"/>
      <c r="X278" s="47"/>
      <c r="Y278" s="13"/>
      <c r="Z278" s="57"/>
    </row>
    <row r="279" spans="2:26" x14ac:dyDescent="0.35">
      <c r="B279" s="5">
        <v>46262</v>
      </c>
      <c r="C279" s="8" t="s">
        <v>97</v>
      </c>
      <c r="D279" s="14" t="s">
        <v>4</v>
      </c>
      <c r="E279" s="15" t="s">
        <v>29</v>
      </c>
      <c r="F279" s="8" t="s">
        <v>30</v>
      </c>
      <c r="G279" s="97">
        <f>5300+100</f>
        <v>5400</v>
      </c>
      <c r="H279" s="13">
        <f t="shared" si="32"/>
        <v>5350.05</v>
      </c>
      <c r="I279" s="20">
        <v>0</v>
      </c>
      <c r="J279" s="16">
        <f t="shared" si="35"/>
        <v>9.2499999999999995E-3</v>
      </c>
      <c r="K279" s="10" t="s">
        <v>31</v>
      </c>
      <c r="L279" s="11" t="s">
        <v>32</v>
      </c>
      <c r="M279" s="31">
        <v>493.74063902439019</v>
      </c>
      <c r="N279" s="36"/>
      <c r="O279" s="12">
        <f t="shared" si="33"/>
        <v>6759.9621946463767</v>
      </c>
      <c r="P279" s="80" t="s">
        <v>194</v>
      </c>
      <c r="R279" s="58">
        <f t="shared" si="36"/>
        <v>0</v>
      </c>
      <c r="S279" s="5"/>
      <c r="T279" s="6"/>
      <c r="U279" s="7"/>
      <c r="V279" s="8"/>
      <c r="W279" s="8"/>
      <c r="X279" s="47"/>
      <c r="Y279" s="13"/>
      <c r="Z279" s="57"/>
    </row>
    <row r="280" spans="2:26" x14ac:dyDescent="0.35">
      <c r="B280" s="5">
        <v>46262</v>
      </c>
      <c r="C280" s="8" t="s">
        <v>99</v>
      </c>
      <c r="D280" s="14" t="s">
        <v>4</v>
      </c>
      <c r="E280" s="15" t="s">
        <v>29</v>
      </c>
      <c r="F280" s="8" t="s">
        <v>30</v>
      </c>
      <c r="G280" s="97">
        <f>5300+100</f>
        <v>5400</v>
      </c>
      <c r="H280" s="13">
        <f t="shared" si="32"/>
        <v>5350.05</v>
      </c>
      <c r="I280" s="20">
        <v>0</v>
      </c>
      <c r="J280" s="16">
        <f t="shared" si="35"/>
        <v>9.2499999999999995E-3</v>
      </c>
      <c r="K280" s="10" t="s">
        <v>31</v>
      </c>
      <c r="L280" s="11" t="s">
        <v>32</v>
      </c>
      <c r="M280" s="31">
        <v>564.75200292682928</v>
      </c>
      <c r="N280" s="36"/>
      <c r="O280" s="12">
        <f t="shared" si="33"/>
        <v>6841.4103215273426</v>
      </c>
      <c r="P280" s="80" t="s">
        <v>194</v>
      </c>
      <c r="R280" s="58">
        <f t="shared" si="36"/>
        <v>0</v>
      </c>
      <c r="S280" s="5"/>
      <c r="T280" s="6"/>
      <c r="U280" s="7"/>
      <c r="V280" s="8"/>
      <c r="W280" s="8"/>
      <c r="X280" s="47"/>
      <c r="Y280" s="13"/>
      <c r="Z280" s="57"/>
    </row>
    <row r="281" spans="2:26" x14ac:dyDescent="0.35">
      <c r="B281" s="5">
        <v>46262</v>
      </c>
      <c r="C281" s="8" t="s">
        <v>98</v>
      </c>
      <c r="D281" s="14" t="s">
        <v>4</v>
      </c>
      <c r="E281" s="15" t="s">
        <v>29</v>
      </c>
      <c r="F281" s="8" t="s">
        <v>30</v>
      </c>
      <c r="G281" s="97">
        <f>5300+100</f>
        <v>5400</v>
      </c>
      <c r="H281" s="13">
        <f t="shared" si="32"/>
        <v>5350.05</v>
      </c>
      <c r="I281" s="20">
        <v>0</v>
      </c>
      <c r="J281" s="16">
        <f t="shared" si="35"/>
        <v>9.2499999999999995E-3</v>
      </c>
      <c r="K281" s="10" t="s">
        <v>31</v>
      </c>
      <c r="L281" s="11" t="s">
        <v>32</v>
      </c>
      <c r="M281" s="31">
        <v>489.18180975609749</v>
      </c>
      <c r="N281" s="36"/>
      <c r="O281" s="12">
        <f t="shared" si="33"/>
        <v>6754.7333399354229</v>
      </c>
      <c r="P281" s="80" t="s">
        <v>194</v>
      </c>
      <c r="R281" s="58">
        <f t="shared" si="36"/>
        <v>0</v>
      </c>
      <c r="S281" s="5"/>
      <c r="T281" s="6"/>
      <c r="U281" s="7"/>
      <c r="V281" s="8"/>
      <c r="W281" s="8"/>
      <c r="X281" s="47"/>
      <c r="Y281" s="13"/>
      <c r="Z281" s="57"/>
    </row>
    <row r="282" spans="2:26" x14ac:dyDescent="0.35">
      <c r="B282" s="5">
        <v>46262</v>
      </c>
      <c r="C282" s="6" t="s">
        <v>122</v>
      </c>
      <c r="D282" s="7" t="s">
        <v>3</v>
      </c>
      <c r="E282" s="8" t="s">
        <v>41</v>
      </c>
      <c r="F282" s="8" t="s">
        <v>42</v>
      </c>
      <c r="G282" s="24"/>
      <c r="H282" s="13">
        <f t="shared" si="32"/>
        <v>-195.29</v>
      </c>
      <c r="I282" s="9">
        <v>0.12</v>
      </c>
      <c r="J282" s="16">
        <f t="shared" si="35"/>
        <v>9.2499999999999995E-3</v>
      </c>
      <c r="K282" s="19" t="s">
        <v>18</v>
      </c>
      <c r="L282" s="11" t="s">
        <v>28</v>
      </c>
      <c r="M282" s="33">
        <v>240.83857951219514</v>
      </c>
      <c r="N282" s="31">
        <v>195.29</v>
      </c>
      <c r="O282" s="12">
        <f t="shared" si="33"/>
        <v>45.548579512195147</v>
      </c>
      <c r="P282" s="66" t="s">
        <v>172</v>
      </c>
      <c r="R282" s="58">
        <f t="shared" si="36"/>
        <v>0</v>
      </c>
      <c r="S282" s="5"/>
      <c r="T282" s="6"/>
      <c r="U282" s="7"/>
      <c r="V282" s="8"/>
      <c r="W282" s="8"/>
      <c r="X282" s="47"/>
      <c r="Y282" s="13"/>
      <c r="Z282" s="57"/>
    </row>
    <row r="283" spans="2:26" x14ac:dyDescent="0.35">
      <c r="B283" s="5">
        <v>46262</v>
      </c>
      <c r="C283" s="6" t="s">
        <v>100</v>
      </c>
      <c r="D283" s="7" t="s">
        <v>2</v>
      </c>
      <c r="E283" s="8" t="s">
        <v>41</v>
      </c>
      <c r="F283" s="8" t="s">
        <v>42</v>
      </c>
      <c r="G283" s="24"/>
      <c r="H283" s="13">
        <f t="shared" si="32"/>
        <v>-292.51814545454545</v>
      </c>
      <c r="I283" s="18">
        <v>0.12</v>
      </c>
      <c r="J283" s="16">
        <f t="shared" si="35"/>
        <v>9.2499999999999995E-3</v>
      </c>
      <c r="K283" s="10" t="s">
        <v>18</v>
      </c>
      <c r="L283" s="11" t="s">
        <v>28</v>
      </c>
      <c r="M283" s="31">
        <v>438.92450211382118</v>
      </c>
      <c r="N283" s="31">
        <v>292.51814545454545</v>
      </c>
      <c r="O283" s="12">
        <f t="shared" si="33"/>
        <v>146.40635665927573</v>
      </c>
      <c r="P283" s="66" t="s">
        <v>172</v>
      </c>
      <c r="R283" s="58">
        <f t="shared" si="36"/>
        <v>0</v>
      </c>
      <c r="S283" s="5"/>
      <c r="T283" s="6"/>
      <c r="U283" s="7"/>
      <c r="V283" s="8"/>
      <c r="W283" s="8"/>
      <c r="X283" s="47"/>
      <c r="Y283" s="13"/>
      <c r="Z283" s="57"/>
    </row>
    <row r="284" spans="2:26" x14ac:dyDescent="0.35">
      <c r="B284" s="5">
        <v>46262</v>
      </c>
      <c r="C284" s="6" t="s">
        <v>101</v>
      </c>
      <c r="D284" s="7" t="s">
        <v>2</v>
      </c>
      <c r="E284" s="8" t="s">
        <v>41</v>
      </c>
      <c r="F284" s="8" t="s">
        <v>42</v>
      </c>
      <c r="G284" s="24"/>
      <c r="H284" s="13">
        <f t="shared" si="32"/>
        <v>-380.02926060606057</v>
      </c>
      <c r="I284" s="18">
        <v>0.12</v>
      </c>
      <c r="J284" s="16">
        <f t="shared" si="35"/>
        <v>9.2499999999999995E-3</v>
      </c>
      <c r="K284" s="10" t="s">
        <v>18</v>
      </c>
      <c r="L284" s="11" t="s">
        <v>28</v>
      </c>
      <c r="M284" s="31">
        <v>445.71607804878045</v>
      </c>
      <c r="N284" s="31">
        <v>380.02926060606057</v>
      </c>
      <c r="O284" s="12">
        <f t="shared" si="33"/>
        <v>65.686817442719871</v>
      </c>
      <c r="P284" s="66" t="s">
        <v>172</v>
      </c>
      <c r="R284" s="58">
        <f t="shared" si="36"/>
        <v>0</v>
      </c>
      <c r="S284" s="5"/>
      <c r="T284" s="6"/>
      <c r="U284" s="7"/>
      <c r="V284" s="8"/>
      <c r="W284" s="8"/>
      <c r="X284" s="47"/>
      <c r="Y284" s="13"/>
      <c r="Z284" s="57"/>
    </row>
    <row r="285" spans="2:26" x14ac:dyDescent="0.35">
      <c r="B285" s="5">
        <v>46262</v>
      </c>
      <c r="C285" s="6" t="s">
        <v>102</v>
      </c>
      <c r="D285" s="7" t="s">
        <v>2</v>
      </c>
      <c r="E285" s="8" t="s">
        <v>41</v>
      </c>
      <c r="F285" s="8" t="s">
        <v>42</v>
      </c>
      <c r="G285" s="24"/>
      <c r="H285" s="13">
        <f t="shared" si="32"/>
        <v>-414.34264545454545</v>
      </c>
      <c r="I285" s="18">
        <v>0.12</v>
      </c>
      <c r="J285" s="16">
        <f t="shared" si="35"/>
        <v>9.2499999999999995E-3</v>
      </c>
      <c r="K285" s="10" t="s">
        <v>18</v>
      </c>
      <c r="L285" s="11" t="s">
        <v>28</v>
      </c>
      <c r="M285" s="31">
        <v>484.76667186991864</v>
      </c>
      <c r="N285" s="31">
        <v>414.34264545454545</v>
      </c>
      <c r="O285" s="12">
        <f t="shared" si="33"/>
        <v>70.424026415373191</v>
      </c>
      <c r="P285" s="66" t="s">
        <v>172</v>
      </c>
      <c r="R285" s="58">
        <f t="shared" si="36"/>
        <v>0</v>
      </c>
      <c r="S285" s="5"/>
      <c r="T285" s="6"/>
      <c r="U285" s="7"/>
      <c r="V285" s="8"/>
      <c r="W285" s="8"/>
      <c r="X285" s="47"/>
      <c r="Y285" s="13"/>
      <c r="Z285" s="57"/>
    </row>
    <row r="286" spans="2:26" x14ac:dyDescent="0.35">
      <c r="B286" s="5">
        <v>46262</v>
      </c>
      <c r="C286" s="6" t="s">
        <v>121</v>
      </c>
      <c r="D286" s="7" t="s">
        <v>3</v>
      </c>
      <c r="E286" s="8" t="s">
        <v>41</v>
      </c>
      <c r="F286" s="8" t="s">
        <v>42</v>
      </c>
      <c r="G286" s="24"/>
      <c r="H286" s="13">
        <f t="shared" si="32"/>
        <v>-258.35011151515153</v>
      </c>
      <c r="I286" s="9">
        <v>0.12</v>
      </c>
      <c r="J286" s="16">
        <f t="shared" si="35"/>
        <v>9.2499999999999995E-3</v>
      </c>
      <c r="K286" s="19" t="s">
        <v>18</v>
      </c>
      <c r="L286" s="11" t="s">
        <v>28</v>
      </c>
      <c r="M286" s="34">
        <v>243.357521300813</v>
      </c>
      <c r="N286" s="34">
        <v>258.35011151515153</v>
      </c>
      <c r="O286" s="12">
        <f t="shared" si="33"/>
        <v>-14.99259021433852</v>
      </c>
      <c r="P286" s="66" t="s">
        <v>172</v>
      </c>
      <c r="R286" s="58">
        <f t="shared" si="36"/>
        <v>0</v>
      </c>
      <c r="S286" s="5"/>
      <c r="T286" s="6"/>
      <c r="U286" s="7"/>
      <c r="V286" s="8"/>
      <c r="W286" s="8"/>
      <c r="X286" s="47"/>
      <c r="Y286" s="13"/>
      <c r="Z286" s="57"/>
    </row>
    <row r="287" spans="2:26" x14ac:dyDescent="0.35">
      <c r="B287" s="5">
        <v>46262</v>
      </c>
      <c r="C287" s="6" t="s">
        <v>123</v>
      </c>
      <c r="D287" s="7" t="s">
        <v>3</v>
      </c>
      <c r="E287" s="8" t="s">
        <v>41</v>
      </c>
      <c r="F287" s="8" t="s">
        <v>42</v>
      </c>
      <c r="G287" s="24"/>
      <c r="H287" s="13">
        <f t="shared" si="32"/>
        <v>-260</v>
      </c>
      <c r="I287" s="9">
        <v>0.12</v>
      </c>
      <c r="J287" s="16">
        <f t="shared" si="35"/>
        <v>9.2499999999999995E-3</v>
      </c>
      <c r="K287" s="19" t="s">
        <v>18</v>
      </c>
      <c r="L287" s="11" t="s">
        <v>28</v>
      </c>
      <c r="M287" s="34">
        <v>324.29597008130082</v>
      </c>
      <c r="N287" s="34">
        <v>260</v>
      </c>
      <c r="O287" s="12">
        <f t="shared" si="33"/>
        <v>64.295970081300823</v>
      </c>
      <c r="P287" s="66" t="s">
        <v>172</v>
      </c>
      <c r="R287" s="58">
        <f t="shared" si="36"/>
        <v>0</v>
      </c>
      <c r="S287" s="5"/>
      <c r="T287" s="6"/>
      <c r="U287" s="7"/>
      <c r="V287" s="8"/>
      <c r="W287" s="8"/>
      <c r="X287" s="47"/>
      <c r="Y287" s="13"/>
      <c r="Z287" s="57"/>
    </row>
    <row r="288" spans="2:26" x14ac:dyDescent="0.35">
      <c r="B288" s="5">
        <v>46262</v>
      </c>
      <c r="C288" s="6" t="s">
        <v>122</v>
      </c>
      <c r="D288" s="7" t="s">
        <v>3</v>
      </c>
      <c r="E288" s="15" t="s">
        <v>140</v>
      </c>
      <c r="F288" s="8" t="s">
        <v>141</v>
      </c>
      <c r="G288" s="24"/>
      <c r="H288" s="13">
        <f t="shared" si="32"/>
        <v>-195.29</v>
      </c>
      <c r="I288" s="20">
        <v>0</v>
      </c>
      <c r="J288" s="16">
        <f t="shared" si="35"/>
        <v>9.2499999999999995E-3</v>
      </c>
      <c r="K288" s="19" t="s">
        <v>18</v>
      </c>
      <c r="L288" s="11" t="s">
        <v>50</v>
      </c>
      <c r="M288" s="33">
        <v>240.83857951219514</v>
      </c>
      <c r="N288" s="31">
        <v>195.29</v>
      </c>
      <c r="O288" s="12">
        <f t="shared" si="33"/>
        <v>52.242997169494117</v>
      </c>
      <c r="P288" s="66" t="s">
        <v>172</v>
      </c>
      <c r="R288" s="58">
        <f t="shared" si="36"/>
        <v>0</v>
      </c>
      <c r="S288" s="5"/>
      <c r="T288" s="6"/>
      <c r="U288" s="7"/>
      <c r="V288" s="8"/>
      <c r="W288" s="8"/>
      <c r="X288" s="47"/>
      <c r="Y288" s="13"/>
      <c r="Z288" s="57"/>
    </row>
    <row r="289" spans="2:26" x14ac:dyDescent="0.35">
      <c r="B289" s="5">
        <v>46262</v>
      </c>
      <c r="C289" s="6" t="s">
        <v>121</v>
      </c>
      <c r="D289" s="7" t="s">
        <v>3</v>
      </c>
      <c r="E289" s="15" t="s">
        <v>140</v>
      </c>
      <c r="F289" s="8" t="s">
        <v>141</v>
      </c>
      <c r="G289" s="24"/>
      <c r="H289" s="13">
        <f t="shared" si="32"/>
        <v>-221.47667757575758</v>
      </c>
      <c r="I289" s="20">
        <v>0</v>
      </c>
      <c r="J289" s="16">
        <f t="shared" si="35"/>
        <v>9.2499999999999995E-3</v>
      </c>
      <c r="K289" s="19" t="s">
        <v>18</v>
      </c>
      <c r="L289" s="11" t="s">
        <v>50</v>
      </c>
      <c r="M289" s="34">
        <v>243.357521300813</v>
      </c>
      <c r="N289" s="34">
        <v>221.47667757575758</v>
      </c>
      <c r="O289" s="12">
        <f t="shared" si="33"/>
        <v>25.09673998698808</v>
      </c>
      <c r="P289" s="66" t="s">
        <v>172</v>
      </c>
      <c r="R289" s="58">
        <f t="shared" si="36"/>
        <v>0</v>
      </c>
      <c r="S289" s="5"/>
      <c r="T289" s="6"/>
      <c r="U289" s="7"/>
      <c r="V289" s="8"/>
      <c r="W289" s="8"/>
      <c r="X289" s="47"/>
      <c r="Y289" s="13"/>
      <c r="Z289" s="57"/>
    </row>
    <row r="290" spans="2:26" x14ac:dyDescent="0.35">
      <c r="B290" s="5">
        <v>46262</v>
      </c>
      <c r="C290" s="6" t="s">
        <v>123</v>
      </c>
      <c r="D290" s="7" t="s">
        <v>3</v>
      </c>
      <c r="E290" s="15" t="s">
        <v>140</v>
      </c>
      <c r="F290" s="8" t="s">
        <v>141</v>
      </c>
      <c r="G290" s="24"/>
      <c r="H290" s="13">
        <f t="shared" si="32"/>
        <v>-287.88</v>
      </c>
      <c r="I290" s="20">
        <v>0</v>
      </c>
      <c r="J290" s="16">
        <f t="shared" si="35"/>
        <v>9.2499999999999995E-3</v>
      </c>
      <c r="K290" s="19" t="s">
        <v>18</v>
      </c>
      <c r="L290" s="11" t="s">
        <v>50</v>
      </c>
      <c r="M290" s="34">
        <v>324.29597008130082</v>
      </c>
      <c r="N290" s="34">
        <v>287.88</v>
      </c>
      <c r="O290" s="12">
        <f t="shared" si="33"/>
        <v>41.768139473425585</v>
      </c>
      <c r="P290" s="66" t="s">
        <v>172</v>
      </c>
      <c r="R290" s="58">
        <f t="shared" si="36"/>
        <v>0</v>
      </c>
      <c r="S290" s="5"/>
      <c r="T290" s="6"/>
      <c r="U290" s="7"/>
      <c r="V290" s="8"/>
      <c r="W290" s="8"/>
      <c r="X290" s="47"/>
      <c r="Y290" s="13"/>
      <c r="Z290" s="57"/>
    </row>
    <row r="291" spans="2:26" x14ac:dyDescent="0.35">
      <c r="B291" s="5">
        <v>46262</v>
      </c>
      <c r="C291" s="6" t="s">
        <v>101</v>
      </c>
      <c r="D291" s="7" t="s">
        <v>2</v>
      </c>
      <c r="E291" s="8" t="s">
        <v>64</v>
      </c>
      <c r="F291" s="8" t="s">
        <v>66</v>
      </c>
      <c r="G291" s="93">
        <v>6150</v>
      </c>
      <c r="H291" s="13">
        <f t="shared" si="32"/>
        <v>4959.2229219512201</v>
      </c>
      <c r="I291" s="9">
        <v>0.12</v>
      </c>
      <c r="J291" s="16">
        <f t="shared" si="35"/>
        <v>9.2499999999999995E-3</v>
      </c>
      <c r="K291" s="10" t="s">
        <v>18</v>
      </c>
      <c r="L291" s="11" t="s">
        <v>28</v>
      </c>
      <c r="M291" s="31">
        <v>445.71607804878045</v>
      </c>
      <c r="N291" s="31">
        <f>M291-43</f>
        <v>402.71607804878045</v>
      </c>
      <c r="O291" s="12">
        <f t="shared" si="33"/>
        <v>6193</v>
      </c>
      <c r="P291" s="66" t="s">
        <v>181</v>
      </c>
      <c r="R291" s="58">
        <f t="shared" si="36"/>
        <v>0</v>
      </c>
      <c r="S291" s="5"/>
      <c r="T291" s="6"/>
      <c r="U291" s="7"/>
      <c r="V291" s="8"/>
      <c r="W291" s="8"/>
      <c r="X291" s="47"/>
      <c r="Y291" s="13"/>
      <c r="Z291" s="57"/>
    </row>
    <row r="292" spans="2:26" x14ac:dyDescent="0.35">
      <c r="B292" s="5">
        <v>46262</v>
      </c>
      <c r="C292" s="6" t="s">
        <v>122</v>
      </c>
      <c r="D292" s="7" t="s">
        <v>3</v>
      </c>
      <c r="E292" s="15" t="s">
        <v>49</v>
      </c>
      <c r="F292" s="8" t="s">
        <v>23</v>
      </c>
      <c r="G292" s="24"/>
      <c r="H292" s="13">
        <f t="shared" si="32"/>
        <v>-195.29</v>
      </c>
      <c r="I292" s="20">
        <v>0</v>
      </c>
      <c r="J292" s="16">
        <f t="shared" si="35"/>
        <v>9.2499999999999995E-3</v>
      </c>
      <c r="K292" s="19" t="s">
        <v>18</v>
      </c>
      <c r="L292" s="11" t="s">
        <v>50</v>
      </c>
      <c r="M292" s="38">
        <v>240.83857951219514</v>
      </c>
      <c r="N292" s="34">
        <v>195.29</v>
      </c>
      <c r="O292" s="12">
        <f t="shared" si="33"/>
        <v>52.242997169494117</v>
      </c>
      <c r="P292" s="66" t="s">
        <v>181</v>
      </c>
      <c r="R292" s="58">
        <f t="shared" si="36"/>
        <v>0</v>
      </c>
      <c r="S292" s="5"/>
      <c r="T292" s="6"/>
      <c r="U292" s="7"/>
      <c r="V292" s="8"/>
      <c r="W292" s="8"/>
      <c r="X292" s="47"/>
      <c r="Y292" s="13"/>
      <c r="Z292" s="57"/>
    </row>
    <row r="293" spans="2:26" x14ac:dyDescent="0.35">
      <c r="B293" s="5">
        <v>46262</v>
      </c>
      <c r="C293" s="6" t="s">
        <v>121</v>
      </c>
      <c r="D293" s="7" t="s">
        <v>3</v>
      </c>
      <c r="E293" s="15" t="s">
        <v>49</v>
      </c>
      <c r="F293" s="8" t="s">
        <v>23</v>
      </c>
      <c r="G293" s="24"/>
      <c r="H293" s="13">
        <f t="shared" si="32"/>
        <v>-221.47667757575758</v>
      </c>
      <c r="I293" s="20">
        <v>0</v>
      </c>
      <c r="J293" s="16">
        <f t="shared" si="35"/>
        <v>9.2499999999999995E-3</v>
      </c>
      <c r="K293" s="19" t="s">
        <v>18</v>
      </c>
      <c r="L293" s="11" t="s">
        <v>50</v>
      </c>
      <c r="M293" s="34">
        <v>243.357521300813</v>
      </c>
      <c r="N293" s="34">
        <v>221.47667757575758</v>
      </c>
      <c r="O293" s="12">
        <f t="shared" si="33"/>
        <v>25.09673998698808</v>
      </c>
      <c r="P293" s="66" t="s">
        <v>181</v>
      </c>
      <c r="R293" s="58">
        <f t="shared" si="36"/>
        <v>0</v>
      </c>
      <c r="S293" s="5"/>
      <c r="T293" s="6"/>
      <c r="U293" s="7"/>
      <c r="V293" s="8"/>
      <c r="W293" s="8"/>
      <c r="X293" s="47"/>
      <c r="Y293" s="13"/>
      <c r="Z293" s="57"/>
    </row>
    <row r="294" spans="2:26" x14ac:dyDescent="0.35">
      <c r="B294" s="5">
        <v>46262</v>
      </c>
      <c r="C294" s="6" t="s">
        <v>114</v>
      </c>
      <c r="D294" s="7" t="s">
        <v>5</v>
      </c>
      <c r="E294" s="15" t="s">
        <v>49</v>
      </c>
      <c r="F294" s="8" t="s">
        <v>23</v>
      </c>
      <c r="G294" s="24"/>
      <c r="H294" s="13">
        <f t="shared" si="32"/>
        <v>-547.7057511961724</v>
      </c>
      <c r="I294" s="9">
        <v>0.12</v>
      </c>
      <c r="J294" s="16">
        <f t="shared" si="35"/>
        <v>9.2499999999999995E-3</v>
      </c>
      <c r="K294" s="10" t="s">
        <v>18</v>
      </c>
      <c r="L294" s="11" t="s">
        <v>50</v>
      </c>
      <c r="M294" s="31">
        <v>662.70499512195113</v>
      </c>
      <c r="N294" s="31">
        <v>547.7057511961724</v>
      </c>
      <c r="O294" s="12">
        <f t="shared" si="33"/>
        <v>114.99924392577873</v>
      </c>
      <c r="P294" s="66" t="s">
        <v>181</v>
      </c>
      <c r="R294" s="58">
        <f t="shared" si="36"/>
        <v>0</v>
      </c>
      <c r="S294" s="5"/>
      <c r="T294" s="6"/>
      <c r="U294" s="7"/>
      <c r="V294" s="8"/>
      <c r="W294" s="8"/>
      <c r="X294" s="47"/>
      <c r="Y294" s="13"/>
      <c r="Z294" s="57"/>
    </row>
    <row r="295" spans="2:26" x14ac:dyDescent="0.35">
      <c r="B295" s="5">
        <v>46262</v>
      </c>
      <c r="C295" s="6" t="s">
        <v>128</v>
      </c>
      <c r="D295" s="7" t="s">
        <v>15</v>
      </c>
      <c r="E295" s="15" t="s">
        <v>49</v>
      </c>
      <c r="F295" s="8" t="s">
        <v>23</v>
      </c>
      <c r="G295" s="24"/>
      <c r="H295" s="13">
        <f t="shared" si="32"/>
        <v>-1110.8499999999999</v>
      </c>
      <c r="I295" s="9">
        <v>0.12</v>
      </c>
      <c r="J295" s="16">
        <f t="shared" si="35"/>
        <v>9.2499999999999995E-3</v>
      </c>
      <c r="K295" s="17" t="s">
        <v>18</v>
      </c>
      <c r="L295" s="11" t="s">
        <v>50</v>
      </c>
      <c r="M295" s="33">
        <v>1439.1768234146339</v>
      </c>
      <c r="N295" s="31">
        <v>1110.8499999999999</v>
      </c>
      <c r="O295" s="12">
        <f t="shared" si="33"/>
        <v>328.32682341463396</v>
      </c>
      <c r="P295" s="66" t="s">
        <v>181</v>
      </c>
      <c r="R295" s="58">
        <f t="shared" si="36"/>
        <v>0</v>
      </c>
      <c r="S295" s="5"/>
      <c r="T295" s="6"/>
      <c r="U295" s="7"/>
      <c r="V295" s="8"/>
      <c r="W295" s="8"/>
      <c r="X295" s="47"/>
      <c r="Y295" s="13"/>
      <c r="Z295" s="57"/>
    </row>
    <row r="296" spans="2:26" x14ac:dyDescent="0.35">
      <c r="B296" s="5">
        <v>46262</v>
      </c>
      <c r="C296" s="8" t="s">
        <v>97</v>
      </c>
      <c r="D296" s="14" t="s">
        <v>4</v>
      </c>
      <c r="E296" s="15" t="s">
        <v>49</v>
      </c>
      <c r="F296" s="8" t="s">
        <v>23</v>
      </c>
      <c r="G296" s="24"/>
      <c r="H296" s="13">
        <f t="shared" si="32"/>
        <v>-406.71</v>
      </c>
      <c r="I296" s="9">
        <v>0.12</v>
      </c>
      <c r="J296" s="16">
        <f t="shared" si="35"/>
        <v>9.2499999999999995E-3</v>
      </c>
      <c r="K296" s="10" t="s">
        <v>18</v>
      </c>
      <c r="L296" s="11" t="s">
        <v>50</v>
      </c>
      <c r="M296" s="31">
        <v>493.74063902439019</v>
      </c>
      <c r="N296" s="36">
        <v>406.71</v>
      </c>
      <c r="O296" s="12">
        <f t="shared" si="33"/>
        <v>87.030639024390211</v>
      </c>
      <c r="P296" s="66" t="s">
        <v>181</v>
      </c>
      <c r="R296" s="58">
        <f t="shared" si="36"/>
        <v>0</v>
      </c>
      <c r="S296" s="5"/>
      <c r="T296" s="6"/>
      <c r="U296" s="7"/>
      <c r="V296" s="8"/>
      <c r="W296" s="8"/>
      <c r="X296" s="47"/>
      <c r="Y296" s="13"/>
      <c r="Z296" s="57"/>
    </row>
    <row r="297" spans="2:26" x14ac:dyDescent="0.35">
      <c r="B297" s="5">
        <v>46262</v>
      </c>
      <c r="C297" s="8" t="s">
        <v>99</v>
      </c>
      <c r="D297" s="14" t="s">
        <v>4</v>
      </c>
      <c r="E297" s="15" t="s">
        <v>49</v>
      </c>
      <c r="F297" s="8" t="s">
        <v>23</v>
      </c>
      <c r="G297" s="24"/>
      <c r="H297" s="13">
        <f t="shared" si="32"/>
        <v>-465.76</v>
      </c>
      <c r="I297" s="9">
        <v>0.12</v>
      </c>
      <c r="J297" s="16">
        <f t="shared" si="35"/>
        <v>9.2499999999999995E-3</v>
      </c>
      <c r="K297" s="10" t="s">
        <v>18</v>
      </c>
      <c r="L297" s="11" t="s">
        <v>50</v>
      </c>
      <c r="M297" s="34">
        <v>564.75200292682928</v>
      </c>
      <c r="N297" s="37">
        <v>465.76</v>
      </c>
      <c r="O297" s="12">
        <f t="shared" si="33"/>
        <v>98.992002926829286</v>
      </c>
      <c r="P297" s="66" t="s">
        <v>181</v>
      </c>
      <c r="R297" s="58">
        <f t="shared" si="36"/>
        <v>0</v>
      </c>
      <c r="S297" s="5"/>
      <c r="T297" s="6"/>
      <c r="U297" s="7"/>
      <c r="V297" s="8"/>
      <c r="W297" s="8"/>
      <c r="X297" s="47"/>
      <c r="Y297" s="13"/>
      <c r="Z297" s="57"/>
    </row>
    <row r="298" spans="2:26" x14ac:dyDescent="0.35">
      <c r="B298" s="5">
        <v>46262</v>
      </c>
      <c r="C298" s="8" t="s">
        <v>98</v>
      </c>
      <c r="D298" s="14" t="s">
        <v>4</v>
      </c>
      <c r="E298" s="15" t="s">
        <v>49</v>
      </c>
      <c r="F298" s="8" t="s">
        <v>23</v>
      </c>
      <c r="G298" s="24"/>
      <c r="H298" s="13">
        <f t="shared" si="32"/>
        <v>-402.9</v>
      </c>
      <c r="I298" s="9">
        <v>0.12</v>
      </c>
      <c r="J298" s="16">
        <f t="shared" si="35"/>
        <v>9.2499999999999995E-3</v>
      </c>
      <c r="K298" s="10" t="s">
        <v>18</v>
      </c>
      <c r="L298" s="11" t="s">
        <v>50</v>
      </c>
      <c r="M298" s="34">
        <v>489.18180975609749</v>
      </c>
      <c r="N298" s="37">
        <v>402.9</v>
      </c>
      <c r="O298" s="12">
        <f t="shared" si="33"/>
        <v>86.281809756097516</v>
      </c>
      <c r="P298" s="66" t="s">
        <v>181</v>
      </c>
      <c r="R298" s="58">
        <f t="shared" si="36"/>
        <v>0</v>
      </c>
      <c r="S298" s="5"/>
      <c r="T298" s="6"/>
      <c r="U298" s="7"/>
      <c r="V298" s="8"/>
      <c r="W298" s="8"/>
      <c r="X298" s="47"/>
      <c r="Y298" s="13"/>
      <c r="Z298" s="57"/>
    </row>
    <row r="299" spans="2:26" x14ac:dyDescent="0.35">
      <c r="B299" s="5">
        <v>46262</v>
      </c>
      <c r="C299" s="6" t="s">
        <v>123</v>
      </c>
      <c r="D299" s="7" t="s">
        <v>3</v>
      </c>
      <c r="E299" s="15" t="s">
        <v>49</v>
      </c>
      <c r="F299" s="8" t="s">
        <v>23</v>
      </c>
      <c r="G299" s="24"/>
      <c r="H299" s="13">
        <f t="shared" si="32"/>
        <v>-287.88</v>
      </c>
      <c r="I299" s="20">
        <v>0</v>
      </c>
      <c r="J299" s="16">
        <f t="shared" si="35"/>
        <v>9.2499999999999995E-3</v>
      </c>
      <c r="K299" s="19" t="s">
        <v>18</v>
      </c>
      <c r="L299" s="11" t="s">
        <v>50</v>
      </c>
      <c r="M299" s="34">
        <v>324.29597008130082</v>
      </c>
      <c r="N299" s="34">
        <v>287.88</v>
      </c>
      <c r="O299" s="12">
        <f t="shared" si="33"/>
        <v>41.768139473425585</v>
      </c>
      <c r="P299" s="66" t="s">
        <v>181</v>
      </c>
      <c r="R299" s="58">
        <f t="shared" si="36"/>
        <v>0</v>
      </c>
      <c r="S299" s="5"/>
      <c r="T299" s="6"/>
      <c r="U299" s="7"/>
      <c r="V299" s="8"/>
      <c r="W299" s="8"/>
      <c r="X299" s="47"/>
      <c r="Y299" s="13"/>
      <c r="Z299" s="57"/>
    </row>
    <row r="300" spans="2:26" x14ac:dyDescent="0.35">
      <c r="G300" s="90"/>
    </row>
    <row r="301" spans="2:26" x14ac:dyDescent="0.35">
      <c r="G301" s="95"/>
      <c r="H301" s="29"/>
      <c r="I301" s="88"/>
    </row>
    <row r="302" spans="2:26" x14ac:dyDescent="0.35">
      <c r="G302" s="91"/>
      <c r="H302" s="87">
        <f>SUBTOTAL(101,H25:H266)</f>
        <v>3495.4619431692936</v>
      </c>
    </row>
    <row r="303" spans="2:26" x14ac:dyDescent="0.35">
      <c r="G303" s="90"/>
      <c r="H303" s="29"/>
    </row>
    <row r="304" spans="2:26" x14ac:dyDescent="0.35">
      <c r="G304" s="96"/>
      <c r="H304" s="87"/>
    </row>
    <row r="305" spans="7:8" x14ac:dyDescent="0.35">
      <c r="G305" s="92"/>
      <c r="H305" s="87"/>
    </row>
    <row r="306" spans="7:8" x14ac:dyDescent="0.35">
      <c r="G306" s="92"/>
      <c r="H306" s="87"/>
    </row>
    <row r="307" spans="7:8" x14ac:dyDescent="0.35">
      <c r="G307" s="90"/>
      <c r="H307" s="87"/>
    </row>
    <row r="308" spans="7:8" x14ac:dyDescent="0.35">
      <c r="G308" s="92"/>
      <c r="H308" s="87"/>
    </row>
    <row r="309" spans="7:8" x14ac:dyDescent="0.35">
      <c r="G309" s="92"/>
      <c r="H309" s="87"/>
    </row>
    <row r="310" spans="7:8" x14ac:dyDescent="0.35">
      <c r="G310" s="92"/>
      <c r="H310" s="87"/>
    </row>
    <row r="311" spans="7:8" x14ac:dyDescent="0.35">
      <c r="G311" s="90"/>
      <c r="H311" s="87"/>
    </row>
    <row r="312" spans="7:8" x14ac:dyDescent="0.35">
      <c r="G312" s="90"/>
    </row>
    <row r="313" spans="7:8" x14ac:dyDescent="0.35">
      <c r="G313" s="90"/>
    </row>
  </sheetData>
  <autoFilter ref="A2:Z299" xr:uid="{00000000-0001-0000-0000-000000000000}"/>
  <pageMargins left="0.511811024" right="0.511811024" top="0.78740157499999996" bottom="0.78740157499999996" header="0.31496062000000002" footer="0.31496062000000002"/>
  <pageSetup paperSize="9" orientation="portrait" r:id="rId1"/>
  <ignoredErrors>
    <ignoredError sqref="G1 C2:G2 F3:H5 F301:F302 F199:F207 F195 O178:O210 F292:F299 F291 G110 F103:H106 F12:H20 F6:F11 H6:H11 F181:F194 F107:F171 O2:O93 K171 F178:F180 H107:H114 F49:H68 F21:F48 H21:H48 F70:H74 F69 H69 F75:F96 H75:H93 F242:F266 F210:F241 I304:J344 I176:K177 I2:J93 I178:J266 F312:H344 F196 F197:F198 O211:O266 F209 F208 G114 F288:F290 G111:G113 F97:F102 H97:H102 H166:H171 G115:G132 H115:H165 G133:G165 O97:O171 I97:J171 I94:J96 H94:H96 O94:O96 G94:G96 P94:P96 K94:N96 F279:F287 H176:H180 H208 H209 H197:H198 H196 G210:H241 G242:H266 G181:H194 H195 G199:H207 G208 G197:G198 G195 G196 G209 G176:G180" unlockedFormula="1"/>
    <ignoredError sqref="F172:F175 L172:P175" numberStoredAsText="1"/>
    <ignoredError sqref="P268:P272 P267 K268:N272 K267:N267 I267:J272 O267:O272 F272 F273 F276:F278 F275 F274 F267 F268:F271 I172:K175 G172:G175 H172:H175 H268:H271 H272 H267 G267 G268:G271 G272" numberStoredAsText="1" unlockedFormula="1"/>
    <ignoredError sqref="O279:O281 I279:J300 I302:J303 J301 H301 G300:H300 G292:H299 H291 H288:H290 G279:H287 G288:G290 G291" formula="1" unlockedFormula="1"/>
    <ignoredError sqref="O273 I273:J273 I275:P275 K273:N273 P273 I276:P278 I274:P274 G273 H274 H276:H278 H275 G276:G278 G274 G275 H273" numberStoredAsText="1" formula="1" unlockedFormula="1"/>
    <ignoredError sqref="G303:H303 K300:P300 G301 I301 K292:P299 K291:P291 K301:P301 K302:P303 K288:P290 K282:P287 K279:N281 P279:P281 G302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Cotações Filtro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Ronaldo Batista Goncalves</dc:creator>
  <cp:lastModifiedBy>Ronaldo Batista Goncalves</cp:lastModifiedBy>
  <dcterms:created xsi:type="dcterms:W3CDTF">2015-06-05T18:19:34Z</dcterms:created>
  <dcterms:modified xsi:type="dcterms:W3CDTF">2026-09-03T00:20:14Z</dcterms:modified>
</cp:coreProperties>
</file>